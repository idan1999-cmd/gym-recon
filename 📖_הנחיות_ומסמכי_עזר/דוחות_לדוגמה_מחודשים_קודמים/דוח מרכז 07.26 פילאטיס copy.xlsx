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reet Mall\A+\דוחות נוכחות\2026\"/>
    </mc:Choice>
  </mc:AlternateContent>
  <xr:revisionPtr revIDLastSave="0" documentId="8_{FDCAF5F5-5690-4DBB-8921-BD8F3E7CF7E8}" xr6:coauthVersionLast="47" xr6:coauthVersionMax="47" xr10:uidLastSave="{00000000-0000-0000-0000-000000000000}"/>
  <bookViews>
    <workbookView xWindow="-120" yWindow="-120" windowWidth="29040" windowHeight="15840" tabRatio="603" activeTab="1" xr2:uid="{00000000-000D-0000-FFFF-FFFF00000000}"/>
  </bookViews>
  <sheets>
    <sheet name="ריכוז שעות" sheetId="1" r:id="rId1"/>
    <sheet name="דוח מרכז לאישור מנהל" sheetId="5" r:id="rId2"/>
    <sheet name="סיכום אימונים ומכירות מנויים" sheetId="8" r:id="rId3"/>
    <sheet name="חילנט" sheetId="7" r:id="rId4"/>
    <sheet name="חיוב יזם" sheetId="11" r:id="rId5"/>
    <sheet name="גיליון2" sheetId="13" state="hidden" r:id="rId6"/>
    <sheet name="גיליון1" sheetId="12" state="hidden" r:id="rId7"/>
    <sheet name="חגים" sheetId="9" state="hidden" r:id="rId8"/>
    <sheet name="דוח אימוני סטודיו" sheetId="6" state="hidden" r:id="rId9"/>
  </sheets>
  <definedNames>
    <definedName name="_xlnm.Print_Area" localSheetId="1">'דוח מרכז לאישור מנהל'!$A$45:$D$54</definedName>
    <definedName name="_xlnm.Print_Area" localSheetId="4">'חיוב יזם'!$C$4:$H$17</definedName>
  </definedNames>
  <calcPr calcId="191029"/>
  <pivotCaches>
    <pivotCache cacheId="2" r:id="rId10"/>
    <pivotCache cacheId="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5" l="1"/>
  <c r="D47" i="5"/>
  <c r="C26" i="5"/>
  <c r="B26" i="5"/>
  <c r="C25" i="5"/>
  <c r="C27" i="5" s="1"/>
  <c r="E27" i="8"/>
  <c r="M26" i="8"/>
  <c r="N26" i="8" s="1"/>
  <c r="M25" i="8"/>
  <c r="N25" i="8" s="1"/>
  <c r="M24" i="8"/>
  <c r="N24" i="8" s="1"/>
  <c r="M23" i="8"/>
  <c r="M27" i="8" s="1"/>
  <c r="L5" i="7"/>
  <c r="K5" i="7"/>
  <c r="J5" i="7"/>
  <c r="I5" i="7"/>
  <c r="H5" i="7"/>
  <c r="G5" i="7"/>
  <c r="F5" i="7"/>
  <c r="E5" i="7"/>
  <c r="D5" i="7"/>
  <c r="N23" i="8" l="1"/>
  <c r="N27" i="8" s="1"/>
  <c r="E12" i="5"/>
  <c r="K11" i="8"/>
  <c r="C11" i="8"/>
  <c r="F39" i="1"/>
  <c r="F38" i="1"/>
  <c r="F37" i="1"/>
  <c r="F36" i="1"/>
  <c r="F35" i="1"/>
  <c r="F34" i="1"/>
  <c r="G40" i="1" s="1"/>
  <c r="F5" i="11"/>
  <c r="B10" i="1"/>
  <c r="D10" i="1" s="1"/>
  <c r="C10" i="1"/>
  <c r="B11" i="1"/>
  <c r="D11" i="1" s="1"/>
  <c r="C11" i="1"/>
  <c r="B12" i="1"/>
  <c r="D12" i="1" s="1"/>
  <c r="C12" i="1"/>
  <c r="B13" i="1"/>
  <c r="D13" i="1" s="1"/>
  <c r="C13" i="1"/>
  <c r="B14" i="1"/>
  <c r="D14" i="1" s="1"/>
  <c r="C14" i="1"/>
  <c r="E14" i="1"/>
  <c r="B15" i="1"/>
  <c r="D15" i="1" s="1"/>
  <c r="C15" i="1"/>
  <c r="B16" i="1"/>
  <c r="D16" i="1" s="1"/>
  <c r="C16" i="1"/>
  <c r="B17" i="1"/>
  <c r="D17" i="1" s="1"/>
  <c r="C17" i="1"/>
  <c r="B18" i="1"/>
  <c r="D18" i="1" s="1"/>
  <c r="C18" i="1"/>
  <c r="E18" i="1"/>
  <c r="B19" i="1"/>
  <c r="D19" i="1" s="1"/>
  <c r="C19" i="1"/>
  <c r="B20" i="1"/>
  <c r="D20" i="1" s="1"/>
  <c r="C20" i="1"/>
  <c r="E20" i="1"/>
  <c r="F20" i="1"/>
  <c r="B21" i="1"/>
  <c r="D21" i="1" s="1"/>
  <c r="C21" i="1"/>
  <c r="B22" i="1"/>
  <c r="D22" i="1" s="1"/>
  <c r="C22" i="1"/>
  <c r="B23" i="1"/>
  <c r="D23" i="1" s="1"/>
  <c r="C23" i="1"/>
  <c r="B24" i="1"/>
  <c r="D24" i="1" s="1"/>
  <c r="C24" i="1"/>
  <c r="E24" i="1"/>
  <c r="B25" i="1"/>
  <c r="D25" i="1" s="1"/>
  <c r="C25" i="1"/>
  <c r="B26" i="1"/>
  <c r="D26" i="1" s="1"/>
  <c r="C26" i="1"/>
  <c r="B27" i="1"/>
  <c r="D27" i="1" s="1"/>
  <c r="C27" i="1"/>
  <c r="B28" i="1"/>
  <c r="D28" i="1" s="1"/>
  <c r="C28" i="1"/>
  <c r="E28" i="1"/>
  <c r="B29" i="1"/>
  <c r="D29" i="1" s="1"/>
  <c r="C29" i="1"/>
  <c r="B30" i="1"/>
  <c r="D30" i="1" s="1"/>
  <c r="C30" i="1"/>
  <c r="E30" i="1"/>
  <c r="F30" i="1"/>
  <c r="B31" i="1"/>
  <c r="D31" i="1" s="1"/>
  <c r="C31" i="1"/>
  <c r="B32" i="1"/>
  <c r="D32" i="1" s="1"/>
  <c r="C32" i="1"/>
  <c r="B33" i="1"/>
  <c r="D33" i="1" s="1"/>
  <c r="C33" i="1"/>
  <c r="B34" i="1"/>
  <c r="D34" i="1" s="1"/>
  <c r="C34" i="1"/>
  <c r="E34" i="1"/>
  <c r="B35" i="1"/>
  <c r="E35" i="1" s="1"/>
  <c r="C35" i="1"/>
  <c r="B36" i="1"/>
  <c r="D36" i="1" s="1"/>
  <c r="C36" i="1"/>
  <c r="B37" i="1"/>
  <c r="C37" i="1"/>
  <c r="D37" i="1"/>
  <c r="E37" i="1"/>
  <c r="B38" i="1"/>
  <c r="D38" i="1" s="1"/>
  <c r="C38" i="1"/>
  <c r="B39" i="1"/>
  <c r="D39" i="1" s="1"/>
  <c r="C39" i="1"/>
  <c r="F10" i="11" l="1"/>
  <c r="E39" i="1"/>
  <c r="E22" i="1"/>
  <c r="E12" i="1"/>
  <c r="E32" i="1"/>
  <c r="D35" i="1"/>
  <c r="F28" i="1"/>
  <c r="F18" i="1"/>
  <c r="F24" i="1"/>
  <c r="F14" i="1"/>
  <c r="F10" i="1"/>
  <c r="E10" i="1"/>
  <c r="F26" i="1"/>
  <c r="F16" i="1"/>
  <c r="E16" i="1"/>
  <c r="E26" i="1"/>
  <c r="F32" i="1"/>
  <c r="F22" i="1"/>
  <c r="F12" i="1"/>
  <c r="E38" i="1"/>
  <c r="F33" i="1"/>
  <c r="F29" i="1"/>
  <c r="F25" i="1"/>
  <c r="F23" i="1"/>
  <c r="F21" i="1"/>
  <c r="F19" i="1"/>
  <c r="F17" i="1"/>
  <c r="F15" i="1"/>
  <c r="F13" i="1"/>
  <c r="F11" i="1"/>
  <c r="F31" i="1"/>
  <c r="F27" i="1"/>
  <c r="E33" i="1"/>
  <c r="E31" i="1"/>
  <c r="E29" i="1"/>
  <c r="E27" i="1"/>
  <c r="E25" i="1"/>
  <c r="E23" i="1"/>
  <c r="E21" i="1"/>
  <c r="E19" i="1"/>
  <c r="E17" i="1"/>
  <c r="E15" i="1"/>
  <c r="E13" i="1"/>
  <c r="E11" i="1"/>
  <c r="E36" i="1"/>
  <c r="C15" i="8" l="1"/>
  <c r="D6" i="5" l="1"/>
  <c r="D54" i="5"/>
  <c r="D15" i="8" l="1"/>
  <c r="F15" i="8"/>
  <c r="K50" i="5" l="1"/>
  <c r="B15" i="5" l="1"/>
  <c r="E15" i="8" l="1"/>
  <c r="K49" i="5" s="1"/>
  <c r="C21" i="5" l="1"/>
  <c r="F13" i="11" l="1"/>
  <c r="E21" i="5" l="1"/>
  <c r="D49" i="5" s="1"/>
  <c r="D53" i="5"/>
  <c r="F12" i="11" l="1"/>
  <c r="D12" i="11"/>
  <c r="E11" i="11"/>
  <c r="D11" i="11"/>
  <c r="E10" i="11"/>
  <c r="D10" i="11"/>
  <c r="E9" i="11"/>
  <c r="D9" i="11"/>
  <c r="F11" i="8"/>
  <c r="E11" i="8"/>
  <c r="D50" i="5" s="1"/>
  <c r="D11" i="8"/>
  <c r="D55" i="5"/>
  <c r="I39" i="5"/>
  <c r="H39" i="5"/>
  <c r="E36" i="5"/>
  <c r="B36" i="5"/>
  <c r="C36" i="5" s="1"/>
  <c r="D36" i="5" s="1"/>
  <c r="E35" i="5"/>
  <c r="B35" i="5"/>
  <c r="C35" i="5" s="1"/>
  <c r="D35" i="5" s="1"/>
  <c r="E34" i="5"/>
  <c r="B34" i="5"/>
  <c r="C34" i="5" s="1"/>
  <c r="D34" i="5" s="1"/>
  <c r="E33" i="5"/>
  <c r="B33" i="5"/>
  <c r="C33" i="5" s="1"/>
  <c r="D33" i="5" s="1"/>
  <c r="C32" i="5"/>
  <c r="D32" i="5" s="1"/>
  <c r="E22" i="5"/>
  <c r="E20" i="5"/>
  <c r="D19" i="5"/>
  <c r="D18" i="5"/>
  <c r="D17" i="5"/>
  <c r="D16" i="5"/>
  <c r="B24" i="5"/>
  <c r="D13" i="5"/>
  <c r="D12" i="5"/>
  <c r="D11" i="5"/>
  <c r="D10" i="5"/>
  <c r="D9" i="5"/>
  <c r="D8" i="5"/>
  <c r="D7" i="5"/>
  <c r="C9" i="1"/>
  <c r="B9" i="1"/>
  <c r="D9" i="1" s="1"/>
  <c r="F57" i="5" l="1"/>
  <c r="E9" i="1"/>
  <c r="B14" i="5"/>
  <c r="B23" i="5" s="1"/>
  <c r="B25" i="5" s="1"/>
  <c r="B27" i="5" s="1"/>
  <c r="D15" i="5"/>
  <c r="F9" i="1"/>
  <c r="F14" i="11"/>
  <c r="E24" i="5"/>
  <c r="D14" i="5" l="1"/>
  <c r="K48" i="5"/>
  <c r="K51" i="5" s="1"/>
  <c r="K52" i="5" s="1"/>
  <c r="E23" i="5" l="1"/>
  <c r="F9" i="11"/>
  <c r="F58" i="5" l="1"/>
  <c r="D58" i="5"/>
  <c r="F11" i="11"/>
  <c r="F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Street Mall Accountant</author>
  </authors>
  <commentList>
    <comment ref="D51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Street Mall Accountant: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חשבונית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אילן</t>
        </r>
        <r>
          <rPr>
            <sz val="9"/>
            <color rgb="FF000000"/>
            <rFont val="Tahoma"/>
            <family val="2"/>
          </rPr>
          <t xml:space="preserve"> 2000</t>
        </r>
      </text>
    </comment>
  </commentList>
</comments>
</file>

<file path=xl/sharedStrings.xml><?xml version="1.0" encoding="utf-8"?>
<sst xmlns="http://schemas.openxmlformats.org/spreadsheetml/2006/main" count="2787" uniqueCount="274">
  <si>
    <t xml:space="preserve">    אריאל ספא בע"מ </t>
  </si>
  <si>
    <t>שעות פעילות חד"כ</t>
  </si>
  <si>
    <t>יום</t>
  </si>
  <si>
    <t xml:space="preserve">יום </t>
  </si>
  <si>
    <t>סה"כ</t>
  </si>
  <si>
    <t>בחודש</t>
  </si>
  <si>
    <t>בשבוע</t>
  </si>
  <si>
    <t>שעות עבודה</t>
  </si>
  <si>
    <t>הערות</t>
  </si>
  <si>
    <t xml:space="preserve">   אריאל ספא בע"מ</t>
  </si>
  <si>
    <t xml:space="preserve"> </t>
  </si>
  <si>
    <t>נוכחות</t>
  </si>
  <si>
    <t>אור-ים זגורי</t>
  </si>
  <si>
    <t>ברק ביטון</t>
  </si>
  <si>
    <t>רועי עתריה</t>
  </si>
  <si>
    <t>עמית אבן</t>
  </si>
  <si>
    <t>עדי סרי</t>
  </si>
  <si>
    <t>חמישי</t>
  </si>
  <si>
    <t>ראשון</t>
  </si>
  <si>
    <t>שני</t>
  </si>
  <si>
    <t>שלישי</t>
  </si>
  <si>
    <t>רביעי</t>
  </si>
  <si>
    <t>שם העובד :</t>
  </si>
  <si>
    <t>פירוט</t>
  </si>
  <si>
    <t>שעות רגילות</t>
  </si>
  <si>
    <t>תעריף לפי 125%</t>
  </si>
  <si>
    <t>תעריף לפי 150%</t>
  </si>
  <si>
    <t>תעריף לפי 175%</t>
  </si>
  <si>
    <t>תעריף לפי 200%</t>
  </si>
  <si>
    <t xml:space="preserve">שעות ישיבות והשתלמויות </t>
  </si>
  <si>
    <t>תשלום נסיעות בפועל</t>
  </si>
  <si>
    <t>ברוטו עובד</t>
  </si>
  <si>
    <t>סה"כ עלות מעביד</t>
  </si>
  <si>
    <t>עלות חיוב לפרוייקט</t>
  </si>
  <si>
    <t>השוואת שעות עבודה</t>
  </si>
  <si>
    <t>סה"כ שעות נטו :</t>
  </si>
  <si>
    <t>תאריך</t>
  </si>
  <si>
    <t>שעת התחלה</t>
  </si>
  <si>
    <t>שעת סיום</t>
  </si>
  <si>
    <t>סך שעות</t>
  </si>
  <si>
    <t>סך דקות</t>
  </si>
  <si>
    <t>סטטוס</t>
  </si>
  <si>
    <t>מאמן משני</t>
  </si>
  <si>
    <t>מאמן</t>
  </si>
  <si>
    <t>אימון</t>
  </si>
  <si>
    <t>רישומי מתאמנים</t>
  </si>
  <si>
    <t>צ'ק אין</t>
  </si>
  <si>
    <t>רשימת המתנה</t>
  </si>
  <si>
    <t>סניף</t>
  </si>
  <si>
    <t>מתקיים</t>
  </si>
  <si>
    <t>זהבה מז'יבובסקי</t>
  </si>
  <si>
    <t>HIIT TRX</t>
  </si>
  <si>
    <t>Alon Towers</t>
  </si>
  <si>
    <t>יוגה</t>
  </si>
  <si>
    <t>ALON SKILL</t>
  </si>
  <si>
    <t>פילאטיס</t>
  </si>
  <si>
    <t>HIIT פונקציונלי</t>
  </si>
  <si>
    <t>מורן גרינשטיין</t>
  </si>
  <si>
    <t>גיל בקמן</t>
  </si>
  <si>
    <t>ליהי אברמזון</t>
  </si>
  <si>
    <t>OUTDOOR FUNCTIONAL</t>
  </si>
  <si>
    <t>מתן הלוי</t>
  </si>
  <si>
    <t>KICK AND SHAPE</t>
  </si>
  <si>
    <t>השיעור בוטל</t>
  </si>
  <si>
    <t>KICKBOX</t>
  </si>
  <si>
    <t>core ומתיחות</t>
  </si>
  <si>
    <t>תוויות שורה</t>
  </si>
  <si>
    <t>סכום כולל</t>
  </si>
  <si>
    <t>ספירה של תאריך</t>
  </si>
  <si>
    <t>תוויות עמודה</t>
  </si>
  <si>
    <t>תיאור אירוע</t>
  </si>
  <si>
    <t>סוג אירוע</t>
  </si>
  <si>
    <t>ראש השנה א'</t>
  </si>
  <si>
    <t>חגים דתיים</t>
  </si>
  <si>
    <t>ראש השנה ב'</t>
  </si>
  <si>
    <t>צום גדליה</t>
  </si>
  <si>
    <t>ערב יום כיפור</t>
  </si>
  <si>
    <t>יום כיפור</t>
  </si>
  <si>
    <t>ערב סוכות</t>
  </si>
  <si>
    <t>סוכות</t>
  </si>
  <si>
    <t>חול המועד סוכות (1)</t>
  </si>
  <si>
    <t>חול המועד סוכות (2)</t>
  </si>
  <si>
    <t>חול המועד סוכות (3)</t>
  </si>
  <si>
    <t>חול המועד סוכות (4)</t>
  </si>
  <si>
    <t>חול המועד סוכות (5)</t>
  </si>
  <si>
    <t>ערב שמחת תורה</t>
  </si>
  <si>
    <t>שמחת תורה</t>
  </si>
  <si>
    <t>אסרו חג - סוכות</t>
  </si>
  <si>
    <t>יום הזכרון ליצחק רבין</t>
  </si>
  <si>
    <t>חגים חילוניים</t>
  </si>
  <si>
    <t>חנוכה (1)</t>
  </si>
  <si>
    <t>חנוכה (2)</t>
  </si>
  <si>
    <t>חנוכה (3)</t>
  </si>
  <si>
    <t>חנוכה (4)</t>
  </si>
  <si>
    <t>חנוכה (5)</t>
  </si>
  <si>
    <t>חנוכה (6)</t>
  </si>
  <si>
    <t>חנוכה (7)</t>
  </si>
  <si>
    <t>חנוכה (8)</t>
  </si>
  <si>
    <t>צום עשרה בטבת</t>
  </si>
  <si>
    <t>יום הזכרון הבנ"ל לשואה</t>
  </si>
  <si>
    <t>ימים מוכרים בינלאומית</t>
  </si>
  <si>
    <t>ט"ו בשבט</t>
  </si>
  <si>
    <t>תענית אסתר</t>
  </si>
  <si>
    <t>פורים</t>
  </si>
  <si>
    <t>שושן פורים</t>
  </si>
  <si>
    <t>ערב פסח</t>
  </si>
  <si>
    <t>פסח</t>
  </si>
  <si>
    <t>חול המועד פסח (1)</t>
  </si>
  <si>
    <t>חול המועד פסח (2)</t>
  </si>
  <si>
    <t>חול המועד פסח (3)</t>
  </si>
  <si>
    <t>חול המועד פסח (4)</t>
  </si>
  <si>
    <t>ערב פסח (חג שני)</t>
  </si>
  <si>
    <t>שביעי של פסח</t>
  </si>
  <si>
    <t>אסרו חג פסח</t>
  </si>
  <si>
    <t>יום הזכרון לשואה ולגבורה</t>
  </si>
  <si>
    <t>יום הזכרון לחללי צה"ל</t>
  </si>
  <si>
    <t>יום העצמאות</t>
  </si>
  <si>
    <t>ל"ג בעומר</t>
  </si>
  <si>
    <t>יום ירושלים</t>
  </si>
  <si>
    <t>ערב שבועות</t>
  </si>
  <si>
    <t>שבועות</t>
  </si>
  <si>
    <t>אסרו חג שבועות</t>
  </si>
  <si>
    <t>צום שבעה עשר בתמוז</t>
  </si>
  <si>
    <t>תשעה באב</t>
  </si>
  <si>
    <t>ערב ראש השנה</t>
  </si>
  <si>
    <t>פורים קטן</t>
  </si>
  <si>
    <t>יום בחירות ארציות</t>
  </si>
  <si>
    <t>ימי שבתון</t>
  </si>
  <si>
    <t>חג</t>
  </si>
  <si>
    <t>וימים מיוחדים</t>
  </si>
  <si>
    <t>ספיר ילינביץ'</t>
  </si>
  <si>
    <t>אחוז תפוסה</t>
  </si>
  <si>
    <t>ליאורה נוריאל</t>
  </si>
  <si>
    <t>Kickbox</t>
  </si>
  <si>
    <t>Alon Skill</t>
  </si>
  <si>
    <t>ליאל ויינברגר</t>
  </si>
  <si>
    <t>Power Yoga</t>
  </si>
  <si>
    <t>Ouotdoor Functional</t>
  </si>
  <si>
    <t>דניאלה גכטמן</t>
  </si>
  <si>
    <t>Alon Cross</t>
  </si>
  <si>
    <t>שמוליק בריל</t>
  </si>
  <si>
    <t>מס סעיף</t>
  </si>
  <si>
    <t>שם סעיף</t>
  </si>
  <si>
    <t>סכום</t>
  </si>
  <si>
    <t>יום ראשון</t>
  </si>
  <si>
    <t>יום שני</t>
  </si>
  <si>
    <t>יום שלישי</t>
  </si>
  <si>
    <t>יום רביעי</t>
  </si>
  <si>
    <t>יום חמישי</t>
  </si>
  <si>
    <t>יום שישי</t>
  </si>
  <si>
    <t>שבת</t>
  </si>
  <si>
    <t>A+ סטריט מול בע"מ</t>
  </si>
  <si>
    <t>שישי</t>
  </si>
  <si>
    <t>סוציאליות 30%</t>
  </si>
  <si>
    <t>ראשון - חמישי</t>
  </si>
  <si>
    <t>ע.ארוכה</t>
  </si>
  <si>
    <t>ע.סגירה</t>
  </si>
  <si>
    <t>שעות</t>
  </si>
  <si>
    <t>מס' שעות</t>
  </si>
  <si>
    <t>מס' עובדים</t>
  </si>
  <si>
    <t>נורמאטיבי</t>
  </si>
  <si>
    <t>משמרת ערב סגירה</t>
  </si>
  <si>
    <t>A+ סטריט מול</t>
  </si>
  <si>
    <t>הפרש בין חילנט לפועל :</t>
  </si>
  <si>
    <t>בוקר</t>
  </si>
  <si>
    <t xml:space="preserve">משמרת בוקר </t>
  </si>
  <si>
    <t>שונות (בונוס)</t>
  </si>
  <si>
    <t>סה"כ שעות אימוני סטודיו</t>
  </si>
  <si>
    <t>שעות אימון אישי  לא במשמרת</t>
  </si>
  <si>
    <t xml:space="preserve">סה"כ שעות עבודה בחילנט </t>
  </si>
  <si>
    <t>אירועי חברה</t>
  </si>
  <si>
    <t>סה"כ שעות אירוע חברה</t>
  </si>
  <si>
    <t>יזם</t>
  </si>
  <si>
    <t>ינואר</t>
  </si>
  <si>
    <t>עובד בשכר</t>
  </si>
  <si>
    <t>אימון סטודיו</t>
  </si>
  <si>
    <t>עלות מעביד</t>
  </si>
  <si>
    <t>חיוב ימי עיון והשתלמות</t>
  </si>
  <si>
    <t>חיוב אימוני קבוצות</t>
  </si>
  <si>
    <t>מאמן סטודיו</t>
  </si>
  <si>
    <t>ממוצע לשיעור</t>
  </si>
  <si>
    <t xml:space="preserve">עלות ממוצע לשיעור </t>
  </si>
  <si>
    <t>סה"כ שעות אימוני קבוצות לא במשמרת</t>
  </si>
  <si>
    <t>סה"כ שעות אימוני קבוצות במשמרת</t>
  </si>
  <si>
    <t>נעמה חיון</t>
  </si>
  <si>
    <t>עמלות מכירת מנויים פילאטיס</t>
  </si>
  <si>
    <t>181-22636</t>
  </si>
  <si>
    <t>181-22604</t>
  </si>
  <si>
    <t>181-22620</t>
  </si>
  <si>
    <t>חיוב אימון סטודיו פילאטיס</t>
  </si>
  <si>
    <t>סה"כ שעות אימון סטודיו פילאטיס</t>
  </si>
  <si>
    <t>חיוב אימון אישי סטודיו פילאטיס</t>
  </si>
  <si>
    <t>סה"כ שעות אימון אישי סטודיו פילאטיס</t>
  </si>
  <si>
    <t>אימונים סטודיו פילאטיס</t>
  </si>
  <si>
    <t>אימונים אישיים סטודיו פילאטיס</t>
  </si>
  <si>
    <r>
      <t>חיוב יזם -</t>
    </r>
    <r>
      <rPr>
        <b/>
        <u/>
        <sz val="11"/>
        <color rgb="FF00B0F0"/>
        <rFont val="Arial"/>
        <family val="2"/>
        <scheme val="minor"/>
      </rPr>
      <t xml:space="preserve"> סטודיו פילאטיס</t>
    </r>
  </si>
  <si>
    <t>סה"כ סטודיו פילאטיס</t>
  </si>
  <si>
    <t>שעות סטודיו פילאטיס מכירות</t>
  </si>
  <si>
    <t>סטודיו פיאלטיס</t>
  </si>
  <si>
    <t>181-22601</t>
  </si>
  <si>
    <t>ניהול סטודיו פילאטיס</t>
  </si>
  <si>
    <t xml:space="preserve">סה"כ לחיוב  </t>
  </si>
  <si>
    <t>שיעורים סטודיו פילאטיס</t>
  </si>
  <si>
    <t>08:00-11:00</t>
  </si>
  <si>
    <t>181-22650</t>
  </si>
  <si>
    <t>אימונים אישיים פילאטיס</t>
  </si>
  <si>
    <r>
      <t>שיעורי סטודיו פילאטיס</t>
    </r>
    <r>
      <rPr>
        <sz val="11"/>
        <color rgb="FFFF0000"/>
        <rFont val="Arial"/>
        <family val="2"/>
        <scheme val="minor"/>
      </rPr>
      <t xml:space="preserve"> מאמני חוץ</t>
    </r>
  </si>
  <si>
    <r>
      <t>אימונים אישיים פילאטיס -</t>
    </r>
    <r>
      <rPr>
        <sz val="11"/>
        <color rgb="FFFF0000"/>
        <rFont val="Arial"/>
        <family val="2"/>
        <scheme val="minor"/>
      </rPr>
      <t xml:space="preserve"> מאמני חוץ</t>
    </r>
  </si>
  <si>
    <t>08:00-12:00</t>
  </si>
  <si>
    <t>א - ה</t>
  </si>
  <si>
    <t>16:30-20:30</t>
  </si>
  <si>
    <t>17:00-20:00</t>
  </si>
  <si>
    <t>ב - ה</t>
  </si>
  <si>
    <t>אימונים אישיים</t>
  </si>
  <si>
    <t>סה"כ מאמנים חוץ</t>
  </si>
  <si>
    <t>חיוב שעות עבודה מכירות סטודיו פילאטיס</t>
  </si>
  <si>
    <t>סה"כ שיעורים</t>
  </si>
  <si>
    <r>
      <t xml:space="preserve">ניהול סטודיו פילאטיס - </t>
    </r>
    <r>
      <rPr>
        <sz val="11"/>
        <color rgb="FFFF0000"/>
        <rFont val="Arial"/>
        <family val="2"/>
        <scheme val="minor"/>
      </rPr>
      <t>חוץ</t>
    </r>
  </si>
  <si>
    <t>קבלה</t>
  </si>
  <si>
    <t>אירועי חברה פילאטיס</t>
  </si>
  <si>
    <r>
      <t xml:space="preserve">שעות עבודה מכירות פילאטיס </t>
    </r>
    <r>
      <rPr>
        <sz val="11"/>
        <color rgb="FFFF0000"/>
        <rFont val="Arial"/>
        <family val="2"/>
        <scheme val="minor"/>
      </rPr>
      <t>- חוץ</t>
    </r>
  </si>
  <si>
    <r>
      <t xml:space="preserve">עמלות מכירת מנויים פילאטיס - </t>
    </r>
    <r>
      <rPr>
        <sz val="11"/>
        <color rgb="FFFF0000"/>
        <rFont val="Arial"/>
        <family val="2"/>
        <scheme val="minor"/>
      </rPr>
      <t>חוץ</t>
    </r>
  </si>
  <si>
    <t>181-10109</t>
  </si>
  <si>
    <t>השתלמויות</t>
  </si>
  <si>
    <r>
      <t xml:space="preserve">השתלמויות - </t>
    </r>
    <r>
      <rPr>
        <sz val="11"/>
        <color rgb="FFFF0000"/>
        <rFont val="Arial"/>
        <family val="2"/>
        <scheme val="minor"/>
      </rPr>
      <t>חוץ</t>
    </r>
  </si>
  <si>
    <t xml:space="preserve">שעות עבודה מכירות פילאטיס </t>
  </si>
  <si>
    <t>קורסים/אימונים אישיים - פילאטיס</t>
  </si>
  <si>
    <t>קבלה- מכירות</t>
  </si>
  <si>
    <t xml:space="preserve">שעות עבודה בפועל  </t>
  </si>
  <si>
    <t>ניקול איידלמן</t>
  </si>
  <si>
    <t>ASDFG</t>
  </si>
  <si>
    <t>נוי פרוינד צונג</t>
  </si>
  <si>
    <t>דפנה כץ</t>
  </si>
  <si>
    <t>ליהי כינר</t>
  </si>
  <si>
    <t>רחלי בויים</t>
  </si>
  <si>
    <t xml:space="preserve">נועם שליו </t>
  </si>
  <si>
    <t>נועם שליו</t>
  </si>
  <si>
    <t>לינוי מזרחי</t>
  </si>
  <si>
    <t>סיוון פרימן</t>
  </si>
  <si>
    <t>ספיר הורוביץ</t>
  </si>
  <si>
    <t>מורן קליין</t>
  </si>
  <si>
    <t>יוני</t>
  </si>
  <si>
    <t>סיוון פריימן</t>
  </si>
  <si>
    <t>מכירות</t>
  </si>
  <si>
    <t xml:space="preserve">נוכחות יולי 2026 </t>
  </si>
  <si>
    <t>מס עובד</t>
  </si>
  <si>
    <t>שם משפחה</t>
  </si>
  <si>
    <t>סה"כ לשכר</t>
  </si>
  <si>
    <t>רגילות                    1.00</t>
  </si>
  <si>
    <t>שנ 100%</t>
  </si>
  <si>
    <t>שנ 125%</t>
  </si>
  <si>
    <t>שנ 150%</t>
  </si>
  <si>
    <t>אימון אישי (הסכם 680 )</t>
  </si>
  <si>
    <t>אימון קבוצתי (הסכם 680 )</t>
  </si>
  <si>
    <t>אימון זוגי(הסכם 680 )</t>
  </si>
  <si>
    <t>סה"כ שעות פרוייקט</t>
  </si>
  <si>
    <t>סה"כ חיון נעמה</t>
  </si>
  <si>
    <t>סה"כ איידלמן ניקול</t>
  </si>
  <si>
    <t>סה"כ כללי</t>
  </si>
  <si>
    <t/>
  </si>
  <si>
    <t>שם המדריך</t>
  </si>
  <si>
    <t>מנויים חדשים חצי שנתי</t>
  </si>
  <si>
    <t>עמלת מכירה מנוי</t>
  </si>
  <si>
    <t>חידוש מנויים /כרטיסייה/אישיים</t>
  </si>
  <si>
    <t>עמלת חידושים</t>
  </si>
  <si>
    <r>
      <t xml:space="preserve">מנויים חדשים שנתי </t>
    </r>
    <r>
      <rPr>
        <b/>
        <sz val="11"/>
        <color rgb="FFFF0000"/>
        <rFont val="Arial"/>
        <family val="2"/>
        <scheme val="minor"/>
      </rPr>
      <t>שנתי</t>
    </r>
  </si>
  <si>
    <t>עמלת מכירה</t>
  </si>
  <si>
    <r>
      <t xml:space="preserve">מנויים </t>
    </r>
    <r>
      <rPr>
        <b/>
        <sz val="11"/>
        <color rgb="FFFF0000"/>
        <rFont val="Arial"/>
        <family val="2"/>
        <scheme val="minor"/>
      </rPr>
      <t>מזומן שנתי</t>
    </r>
  </si>
  <si>
    <t>סה"כ עמלות מכירת  - דיווח שכר</t>
  </si>
  <si>
    <t>סה"כ לחיוב כולל ב.ל 8%</t>
  </si>
  <si>
    <t>לאון</t>
  </si>
  <si>
    <t>נועם</t>
  </si>
  <si>
    <t>ניקול</t>
  </si>
  <si>
    <t>סך הכל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</si>
</sst>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0.0"/>
    <numFmt numFmtId="165" formatCode="_ [$₪-40D]\ * #,##0.00_ ;_ [$₪-40D]\ * \-#,##0.00_ ;_ [$₪-40D]\ * &quot;-&quot;??_ ;_ @_ "/>
    <numFmt numFmtId="166" formatCode="&quot;₪&quot;\ #,##0.00"/>
    <numFmt numFmtId="167" formatCode="&quot;₪&quot;\ #,##0"/>
    <numFmt numFmtId="168" formatCode="_ * #,##0_ ;_ * \-#,##0_ ;_ * &quot;-&quot;??_ ;_ @_ "/>
    <numFmt numFmtId="169" formatCode="_ [$₪-40D]\ * #,##0_ ;_ [$₪-40D]\ * \-#,##0_ ;_ [$₪-40D]\ * &quot;-&quot;??_ ;_ @_ "/>
    <numFmt numFmtId="170" formatCode="&quot;₪&quot;\ #,##0.0"/>
    <numFmt numFmtId="171" formatCode="_ &quot;₪&quot;\ * #,##0_ ;_ &quot;₪&quot;\ * \-#,##0_ ;_ &quot;₪&quot;\ * &quot;-&quot;??_ ;_ @_ "/>
    <numFmt numFmtId="172" formatCode="mm/yyyy"/>
  </numFmts>
  <fonts count="87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8"/>
      <name val="David"/>
      <family val="2"/>
    </font>
    <font>
      <b/>
      <sz val="22"/>
      <name val="David"/>
      <family val="2"/>
    </font>
    <font>
      <b/>
      <sz val="10"/>
      <name val="Arial"/>
      <family val="2"/>
    </font>
    <font>
      <sz val="12"/>
      <name val="David"/>
      <family val="2"/>
    </font>
    <font>
      <b/>
      <sz val="16"/>
      <color rgb="FF0070C0"/>
      <name val="David"/>
      <family val="2"/>
    </font>
    <font>
      <b/>
      <sz val="12"/>
      <name val="David"/>
      <family val="2"/>
    </font>
    <font>
      <sz val="12"/>
      <name val="Arial"/>
      <family val="2"/>
    </font>
    <font>
      <b/>
      <sz val="12"/>
      <color rgb="FF000000"/>
      <name val="David"/>
      <family val="2"/>
    </font>
    <font>
      <b/>
      <sz val="16"/>
      <name val="David"/>
      <family val="2"/>
    </font>
    <font>
      <b/>
      <u/>
      <sz val="12"/>
      <name val="David"/>
      <family val="2"/>
    </font>
    <font>
      <b/>
      <u/>
      <sz val="14"/>
      <name val="David"/>
      <family val="2"/>
    </font>
    <font>
      <b/>
      <sz val="14"/>
      <name val="David"/>
      <family val="2"/>
    </font>
    <font>
      <b/>
      <sz val="10"/>
      <name val="David"/>
      <family val="2"/>
    </font>
    <font>
      <sz val="10"/>
      <name val="David"/>
      <family val="2"/>
    </font>
    <font>
      <b/>
      <sz val="1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</font>
    <font>
      <b/>
      <sz val="11"/>
      <name val="David"/>
      <family val="2"/>
    </font>
    <font>
      <sz val="10"/>
      <name val="Calibri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3"/>
      <name val="David"/>
      <family val="2"/>
    </font>
    <font>
      <sz val="13"/>
      <name val="David"/>
      <family val="2"/>
    </font>
    <font>
      <sz val="13"/>
      <name val="Arial"/>
      <family val="2"/>
    </font>
    <font>
      <b/>
      <sz val="12"/>
      <color rgb="FF44546A"/>
      <name val="David"/>
      <family val="2"/>
    </font>
    <font>
      <b/>
      <sz val="11"/>
      <color theme="1"/>
      <name val="Arial"/>
      <family val="2"/>
      <scheme val="minor"/>
    </font>
    <font>
      <b/>
      <sz val="20"/>
      <color rgb="FF0070C0"/>
      <name val="David"/>
      <family val="2"/>
    </font>
    <font>
      <b/>
      <u/>
      <sz val="11"/>
      <name val="David"/>
      <family val="2"/>
    </font>
    <font>
      <sz val="12"/>
      <color rgb="FF000000"/>
      <name val="David"/>
      <family val="2"/>
    </font>
    <font>
      <b/>
      <sz val="11"/>
      <color rgb="FF000000"/>
      <name val="Arial"/>
      <family val="2"/>
    </font>
    <font>
      <b/>
      <u/>
      <sz val="11"/>
      <name val="Arial"/>
      <family val="2"/>
    </font>
    <font>
      <b/>
      <u/>
      <sz val="10"/>
      <name val="Arial"/>
      <family val="2"/>
      <charset val="177"/>
    </font>
    <font>
      <sz val="10"/>
      <name val="Arial"/>
      <family val="2"/>
      <charset val="177"/>
    </font>
    <font>
      <sz val="11"/>
      <color theme="1"/>
      <name val="Arial"/>
      <family val="2"/>
      <charset val="177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b/>
      <i/>
      <sz val="10"/>
      <color theme="1"/>
      <name val="Arial"/>
      <family val="2"/>
      <scheme val="minor"/>
    </font>
    <font>
      <sz val="9"/>
      <color rgb="FF244880"/>
      <name val="Arial"/>
      <family val="2"/>
    </font>
    <font>
      <sz val="11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2"/>
      <color rgb="FFFF0000"/>
      <name val="David"/>
      <family val="2"/>
    </font>
    <font>
      <b/>
      <u/>
      <sz val="14"/>
      <color theme="1"/>
      <name val="Arial"/>
      <family val="2"/>
      <scheme val="minor"/>
    </font>
    <font>
      <b/>
      <sz val="12"/>
      <color theme="9" tint="-0.499984740745262"/>
      <name val="David"/>
      <family val="2"/>
    </font>
    <font>
      <b/>
      <sz val="12"/>
      <color theme="7" tint="-0.499984740745262"/>
      <name val="David"/>
      <family val="2"/>
    </font>
    <font>
      <b/>
      <sz val="12"/>
      <color theme="5" tint="-0.499984740745262"/>
      <name val="David"/>
      <family val="2"/>
    </font>
    <font>
      <b/>
      <sz val="10"/>
      <color theme="5" tint="-0.499984740745262"/>
      <name val="Arial"/>
      <family val="2"/>
    </font>
    <font>
      <b/>
      <sz val="12"/>
      <color rgb="FFCC3300"/>
      <name val="David"/>
      <family val="2"/>
    </font>
    <font>
      <b/>
      <sz val="12"/>
      <color rgb="FF993366"/>
      <name val="David"/>
      <family val="2"/>
    </font>
    <font>
      <b/>
      <sz val="11"/>
      <name val="Arial"/>
      <family val="2"/>
      <scheme val="minor"/>
    </font>
    <font>
      <sz val="11"/>
      <color rgb="FF006100"/>
      <name val="Arial"/>
      <family val="2"/>
      <charset val="177"/>
      <scheme val="minor"/>
    </font>
    <font>
      <b/>
      <sz val="12"/>
      <color rgb="FF006100"/>
      <name val="David"/>
      <family val="2"/>
    </font>
    <font>
      <b/>
      <sz val="11"/>
      <name val="Arial"/>
      <family val="2"/>
      <charset val="177"/>
      <scheme val="minor"/>
    </font>
    <font>
      <sz val="12"/>
      <name val="David"/>
      <family val="2"/>
    </font>
    <font>
      <b/>
      <u/>
      <sz val="11"/>
      <color rgb="FF00B0F0"/>
      <name val="Arial"/>
      <family val="2"/>
      <scheme val="minor"/>
    </font>
    <font>
      <sz val="11"/>
      <color rgb="FFFF000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b/>
      <u/>
      <sz val="11"/>
      <name val="Arial"/>
      <family val="2"/>
      <scheme val="minor"/>
    </font>
    <font>
      <sz val="11"/>
      <name val="Arial"/>
      <family val="2"/>
    </font>
    <font>
      <sz val="10"/>
      <color rgb="FF00B050"/>
      <name val="Arial"/>
      <family val="2"/>
    </font>
    <font>
      <b/>
      <u/>
      <sz val="14"/>
      <name val="Arial"/>
      <family val="2"/>
      <charset val="177"/>
      <scheme val="minor"/>
    </font>
    <font>
      <sz val="14"/>
      <name val="Arial"/>
      <family val="2"/>
      <charset val="177"/>
      <scheme val="minor"/>
    </font>
    <font>
      <b/>
      <u/>
      <sz val="14"/>
      <color rgb="FFFF0000"/>
      <name val="Arial"/>
      <family val="2"/>
      <charset val="177"/>
      <scheme val="minor"/>
    </font>
    <font>
      <sz val="14"/>
      <color rgb="FFFF0000"/>
      <name val="Arial"/>
      <family val="2"/>
      <charset val="177"/>
      <scheme val="minor"/>
    </font>
    <font>
      <b/>
      <u/>
      <sz val="14"/>
      <color rgb="FFFF0000"/>
      <name val="Arial"/>
      <family val="2"/>
      <scheme val="minor"/>
    </font>
    <font>
      <b/>
      <sz val="10"/>
      <color rgb="FFFF0000"/>
      <name val="Arial"/>
      <family val="2"/>
    </font>
    <font>
      <sz val="11"/>
      <color rgb="FF000000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sz val="14"/>
      <color rgb="FF244880"/>
      <name val="Arial"/>
      <family val="2"/>
      <charset val="177"/>
    </font>
    <font>
      <b/>
      <sz val="10"/>
      <color rgb="FFFFC000"/>
      <name val="Arial"/>
      <family val="2"/>
      <scheme val="minor"/>
    </font>
    <font>
      <b/>
      <u/>
      <sz val="14"/>
      <name val="Arial"/>
      <family val="2"/>
      <scheme val="minor"/>
    </font>
    <font>
      <sz val="14"/>
      <name val="Arial"/>
      <family val="2"/>
      <scheme val="minor"/>
    </font>
    <font>
      <b/>
      <sz val="9"/>
      <color rgb="FFFFFFFF"/>
      <name val="sans-serif"/>
    </font>
    <font>
      <b/>
      <sz val="9"/>
      <color rgb="FF111111"/>
      <name val="sans-serif"/>
    </font>
    <font>
      <sz val="11"/>
      <name val="Calibri"/>
      <family val="2"/>
    </font>
    <font>
      <b/>
      <sz val="14"/>
      <color theme="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FFFF99"/>
        <bgColor rgb="FFFFFF99"/>
      </patternFill>
    </fill>
    <fill>
      <patternFill patternType="solid">
        <fgColor rgb="FFD0CECE"/>
        <bgColor rgb="FFD0CECE"/>
      </patternFill>
    </fill>
    <fill>
      <patternFill patternType="solid">
        <fgColor rgb="FFB4C6E7"/>
        <bgColor rgb="FFB4C6E7"/>
      </patternFill>
    </fill>
    <fill>
      <patternFill patternType="solid">
        <fgColor theme="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D0CE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rgb="FFD8D8D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42B1CC"/>
        <bgColor rgb="FF42B1CC"/>
      </patternFill>
    </fill>
    <fill>
      <patternFill patternType="solid">
        <fgColor rgb="FFE6F4FF"/>
        <bgColor rgb="FFE6F4FF"/>
      </patternFill>
    </fill>
    <fill>
      <patternFill patternType="solid">
        <fgColor rgb="FFC6E7FF"/>
        <bgColor rgb="FFC6E7FF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theme="4"/>
      </patternFill>
    </fill>
  </fills>
  <borders count="5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C8D1DB"/>
      </left>
      <right style="thin">
        <color rgb="FFC8D1DB"/>
      </right>
      <top style="thin">
        <color rgb="FFC8D1DB"/>
      </top>
      <bottom style="thin">
        <color rgb="FFC8D1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C8D1DB"/>
      </left>
      <right style="medium">
        <color auto="1"/>
      </right>
      <top style="thin">
        <color rgb="FFC8D1DB"/>
      </top>
      <bottom style="thin">
        <color rgb="FFC8D1DB"/>
      </bottom>
      <diagonal/>
    </border>
    <border>
      <left/>
      <right/>
      <top style="thin">
        <color rgb="FFC8D1DB"/>
      </top>
      <bottom style="thin">
        <color rgb="FFC8D1DB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30">
    <xf numFmtId="0" fontId="0" fillId="0" borderId="0"/>
    <xf numFmtId="44" fontId="35" fillId="0" borderId="0" applyFont="0" applyFill="0" applyBorder="0" applyAlignment="0" applyProtection="0"/>
    <xf numFmtId="0" fontId="36" fillId="0" borderId="0"/>
    <xf numFmtId="0" fontId="38" fillId="0" borderId="0"/>
    <xf numFmtId="43" fontId="35" fillId="0" borderId="0" applyFont="0" applyFill="0" applyBorder="0" applyAlignment="0" applyProtection="0"/>
    <xf numFmtId="0" fontId="55" fillId="24" borderId="0" applyNumberFormat="0" applyBorder="0" applyAlignment="0" applyProtection="0"/>
    <xf numFmtId="4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28" borderId="0" applyNumberFormat="0" applyBorder="0" applyAlignment="0" applyProtection="0"/>
    <xf numFmtId="4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71" fillId="0" borderId="0"/>
  </cellStyleXfs>
  <cellXfs count="29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2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3" xfId="0" applyFont="1" applyBorder="1"/>
    <xf numFmtId="0" fontId="9" fillId="0" borderId="0" xfId="0" applyFont="1"/>
    <xf numFmtId="0" fontId="10" fillId="0" borderId="0" xfId="0" applyFont="1" applyAlignment="1">
      <alignment horizontal="left"/>
    </xf>
    <xf numFmtId="17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8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" fillId="0" borderId="3" xfId="0" applyFont="1" applyBorder="1"/>
    <xf numFmtId="0" fontId="4" fillId="0" borderId="3" xfId="0" applyFont="1" applyBorder="1" applyAlignment="1">
      <alignment horizontal="center"/>
    </xf>
    <xf numFmtId="14" fontId="16" fillId="2" borderId="8" xfId="0" applyNumberFormat="1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2" fillId="0" borderId="3" xfId="0" applyFont="1" applyBorder="1"/>
    <xf numFmtId="0" fontId="25" fillId="0" borderId="3" xfId="0" applyFont="1" applyBorder="1"/>
    <xf numFmtId="0" fontId="14" fillId="0" borderId="10" xfId="0" applyFont="1" applyBorder="1" applyAlignment="1">
      <alignment horizontal="center"/>
    </xf>
    <xf numFmtId="0" fontId="1" fillId="0" borderId="10" xfId="0" applyFont="1" applyBorder="1"/>
    <xf numFmtId="0" fontId="15" fillId="0" borderId="10" xfId="0" applyFont="1" applyBorder="1"/>
    <xf numFmtId="0" fontId="1" fillId="0" borderId="11" xfId="0" applyFont="1" applyBorder="1"/>
    <xf numFmtId="0" fontId="26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64" fontId="18" fillId="0" borderId="9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2" fontId="7" fillId="6" borderId="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4" fontId="30" fillId="0" borderId="16" xfId="0" applyNumberFormat="1" applyFont="1" applyBorder="1" applyAlignment="1">
      <alignment horizontal="center" vertical="center"/>
    </xf>
    <xf numFmtId="44" fontId="7" fillId="5" borderId="17" xfId="0" applyNumberFormat="1" applyFont="1" applyFill="1" applyBorder="1" applyAlignment="1">
      <alignment horizontal="center" vertical="center"/>
    </xf>
    <xf numFmtId="44" fontId="7" fillId="7" borderId="17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 readingOrder="2"/>
    </xf>
    <xf numFmtId="0" fontId="32" fillId="0" borderId="0" xfId="0" applyFont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4" fontId="30" fillId="0" borderId="20" xfId="0" applyNumberFormat="1" applyFont="1" applyBorder="1" applyAlignment="1">
      <alignment horizontal="center" vertical="center"/>
    </xf>
    <xf numFmtId="44" fontId="7" fillId="5" borderId="19" xfId="0" applyNumberFormat="1" applyFont="1" applyFill="1" applyBorder="1" applyAlignment="1">
      <alignment horizontal="center" vertical="center"/>
    </xf>
    <xf numFmtId="0" fontId="11" fillId="9" borderId="21" xfId="0" applyFont="1" applyFill="1" applyBorder="1" applyAlignment="1">
      <alignment horizontal="center" vertical="center" wrapText="1"/>
    </xf>
    <xf numFmtId="0" fontId="29" fillId="9" borderId="22" xfId="0" applyFont="1" applyFill="1" applyBorder="1" applyAlignment="1">
      <alignment horizontal="center" vertical="center" wrapText="1"/>
    </xf>
    <xf numFmtId="0" fontId="29" fillId="9" borderId="23" xfId="0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right"/>
    </xf>
    <xf numFmtId="0" fontId="37" fillId="10" borderId="32" xfId="2" applyFont="1" applyFill="1" applyBorder="1" applyAlignment="1">
      <alignment horizontal="center" wrapText="1"/>
    </xf>
    <xf numFmtId="14" fontId="37" fillId="0" borderId="33" xfId="2" applyNumberFormat="1" applyFont="1" applyBorder="1" applyAlignment="1">
      <alignment horizontal="right"/>
    </xf>
    <xf numFmtId="0" fontId="37" fillId="0" borderId="33" xfId="2" applyFont="1" applyBorder="1"/>
    <xf numFmtId="0" fontId="37" fillId="0" borderId="33" xfId="2" applyFont="1" applyBorder="1" applyAlignment="1">
      <alignment horizontal="right"/>
    </xf>
    <xf numFmtId="20" fontId="5" fillId="0" borderId="0" xfId="0" applyNumberFormat="1" applyFont="1"/>
    <xf numFmtId="43" fontId="5" fillId="0" borderId="8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7" fontId="13" fillId="0" borderId="14" xfId="0" applyNumberFormat="1" applyFont="1" applyBorder="1" applyAlignment="1">
      <alignment horizontal="center" vertical="center"/>
    </xf>
    <xf numFmtId="16" fontId="0" fillId="0" borderId="0" xfId="0" applyNumberFormat="1"/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9" fillId="0" borderId="24" xfId="0" applyFont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44" fontId="7" fillId="13" borderId="19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readingOrder="2"/>
    </xf>
    <xf numFmtId="0" fontId="41" fillId="0" borderId="0" xfId="0" applyFont="1"/>
    <xf numFmtId="0" fontId="16" fillId="14" borderId="8" xfId="0" applyFont="1" applyFill="1" applyBorder="1" applyAlignment="1">
      <alignment horizontal="center" vertical="center" wrapText="1"/>
    </xf>
    <xf numFmtId="0" fontId="16" fillId="15" borderId="8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42" fillId="0" borderId="0" xfId="0" applyFont="1"/>
    <xf numFmtId="164" fontId="19" fillId="0" borderId="9" xfId="0" applyNumberFormat="1" applyFont="1" applyBorder="1" applyAlignment="1">
      <alignment horizontal="center" vertical="center"/>
    </xf>
    <xf numFmtId="164" fontId="15" fillId="0" borderId="9" xfId="0" applyNumberFormat="1" applyFont="1" applyBorder="1" applyAlignment="1">
      <alignment horizontal="center" vertical="center"/>
    </xf>
    <xf numFmtId="164" fontId="19" fillId="0" borderId="9" xfId="0" applyNumberFormat="1" applyFont="1" applyBorder="1" applyAlignment="1">
      <alignment horizontal="center" vertical="center" wrapText="1"/>
    </xf>
    <xf numFmtId="164" fontId="20" fillId="0" borderId="9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3" fillId="12" borderId="44" xfId="0" applyFont="1" applyFill="1" applyBorder="1" applyAlignment="1" applyProtection="1">
      <alignment horizontal="right" vertical="top" wrapText="1" readingOrder="1"/>
      <protection locked="0"/>
    </xf>
    <xf numFmtId="44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8" fillId="0" borderId="0" xfId="0" applyFont="1" applyAlignment="1">
      <alignment vertical="center" readingOrder="2"/>
    </xf>
    <xf numFmtId="165" fontId="1" fillId="0" borderId="0" xfId="0" applyNumberFormat="1" applyFont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40" fillId="11" borderId="12" xfId="0" applyFont="1" applyFill="1" applyBorder="1"/>
    <xf numFmtId="0" fontId="40" fillId="11" borderId="13" xfId="0" applyFont="1" applyFill="1" applyBorder="1" applyAlignment="1">
      <alignment horizontal="center" wrapText="1"/>
    </xf>
    <xf numFmtId="0" fontId="40" fillId="11" borderId="14" xfId="0" applyFont="1" applyFill="1" applyBorder="1" applyAlignment="1">
      <alignment horizontal="center" wrapText="1"/>
    </xf>
    <xf numFmtId="43" fontId="0" fillId="0" borderId="8" xfId="1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2" fontId="46" fillId="6" borderId="8" xfId="0" applyNumberFormat="1" applyFont="1" applyFill="1" applyBorder="1" applyAlignment="1">
      <alignment horizontal="center" vertical="center"/>
    </xf>
    <xf numFmtId="1" fontId="5" fillId="17" borderId="18" xfId="0" applyNumberFormat="1" applyFont="1" applyFill="1" applyBorder="1" applyAlignment="1">
      <alignment horizontal="center" vertical="center"/>
    </xf>
    <xf numFmtId="1" fontId="5" fillId="20" borderId="18" xfId="0" applyNumberFormat="1" applyFont="1" applyFill="1" applyBorder="1" applyAlignment="1">
      <alignment horizontal="center" vertical="center"/>
    </xf>
    <xf numFmtId="1" fontId="5" fillId="18" borderId="18" xfId="0" applyNumberFormat="1" applyFont="1" applyFill="1" applyBorder="1" applyAlignment="1">
      <alignment horizontal="center" vertical="center"/>
    </xf>
    <xf numFmtId="0" fontId="48" fillId="20" borderId="46" xfId="0" applyFont="1" applyFill="1" applyBorder="1" applyAlignment="1">
      <alignment horizontal="center" vertical="center"/>
    </xf>
    <xf numFmtId="0" fontId="49" fillId="17" borderId="46" xfId="0" applyFont="1" applyFill="1" applyBorder="1" applyAlignment="1">
      <alignment horizontal="center" vertical="center"/>
    </xf>
    <xf numFmtId="0" fontId="50" fillId="18" borderId="46" xfId="0" applyFont="1" applyFill="1" applyBorder="1" applyAlignment="1">
      <alignment horizontal="center" vertical="center"/>
    </xf>
    <xf numFmtId="2" fontId="51" fillId="0" borderId="8" xfId="0" applyNumberFormat="1" applyFont="1" applyBorder="1" applyAlignment="1">
      <alignment horizontal="center" vertical="center"/>
    </xf>
    <xf numFmtId="1" fontId="5" fillId="21" borderId="49" xfId="0" applyNumberFormat="1" applyFont="1" applyFill="1" applyBorder="1" applyAlignment="1">
      <alignment horizontal="center" vertical="center"/>
    </xf>
    <xf numFmtId="1" fontId="5" fillId="22" borderId="49" xfId="0" applyNumberFormat="1" applyFont="1" applyFill="1" applyBorder="1" applyAlignment="1">
      <alignment horizontal="center" vertical="center"/>
    </xf>
    <xf numFmtId="0" fontId="52" fillId="21" borderId="46" xfId="0" applyFont="1" applyFill="1" applyBorder="1" applyAlignment="1">
      <alignment horizontal="center" vertical="center"/>
    </xf>
    <xf numFmtId="0" fontId="53" fillId="22" borderId="46" xfId="0" applyFont="1" applyFill="1" applyBorder="1" applyAlignment="1">
      <alignment horizontal="center" vertical="center"/>
    </xf>
    <xf numFmtId="0" fontId="33" fillId="9" borderId="37" xfId="0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2" fontId="4" fillId="23" borderId="25" xfId="0" applyNumberFormat="1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4" fontId="51" fillId="0" borderId="28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0" fillId="11" borderId="8" xfId="0" applyFont="1" applyFill="1" applyBorder="1" applyAlignment="1">
      <alignment wrapText="1"/>
    </xf>
    <xf numFmtId="43" fontId="7" fillId="19" borderId="36" xfId="4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 readingOrder="2"/>
    </xf>
    <xf numFmtId="0" fontId="0" fillId="0" borderId="39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6" fillId="24" borderId="46" xfId="5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1" fillId="0" borderId="36" xfId="0" applyNumberFormat="1" applyFont="1" applyBorder="1" applyAlignment="1">
      <alignment horizontal="center" vertical="center"/>
    </xf>
    <xf numFmtId="43" fontId="0" fillId="0" borderId="0" xfId="4" applyFont="1" applyAlignment="1">
      <alignment horizontal="center" vertical="center"/>
    </xf>
    <xf numFmtId="20" fontId="0" fillId="0" borderId="0" xfId="0" applyNumberFormat="1"/>
    <xf numFmtId="1" fontId="45" fillId="24" borderId="18" xfId="5" applyNumberFormat="1" applyFont="1" applyBorder="1" applyAlignment="1">
      <alignment horizontal="center" vertical="center"/>
    </xf>
    <xf numFmtId="2" fontId="58" fillId="0" borderId="8" xfId="0" applyNumberFormat="1" applyFont="1" applyBorder="1" applyAlignment="1">
      <alignment horizontal="center" vertical="center"/>
    </xf>
    <xf numFmtId="2" fontId="58" fillId="5" borderId="36" xfId="0" applyNumberFormat="1" applyFont="1" applyFill="1" applyBorder="1" applyAlignment="1">
      <alignment horizontal="center" vertical="center"/>
    </xf>
    <xf numFmtId="170" fontId="58" fillId="5" borderId="36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7" fillId="15" borderId="8" xfId="0" applyFont="1" applyFill="1" applyBorder="1" applyAlignment="1">
      <alignment horizontal="center" vertical="center"/>
    </xf>
    <xf numFmtId="169" fontId="57" fillId="15" borderId="8" xfId="0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43" fillId="12" borderId="44" xfId="0" applyFont="1" applyFill="1" applyBorder="1" applyAlignment="1" applyProtection="1">
      <alignment horizontal="right" vertical="top" readingOrder="1"/>
      <protection locked="0"/>
    </xf>
    <xf numFmtId="2" fontId="19" fillId="26" borderId="8" xfId="0" applyNumberFormat="1" applyFont="1" applyFill="1" applyBorder="1" applyAlignment="1">
      <alignment horizontal="center" vertical="center"/>
    </xf>
    <xf numFmtId="0" fontId="34" fillId="25" borderId="8" xfId="0" applyFont="1" applyFill="1" applyBorder="1" applyAlignment="1">
      <alignment horizontal="center" vertical="center" wrapText="1"/>
    </xf>
    <xf numFmtId="165" fontId="34" fillId="0" borderId="36" xfId="0" applyNumberFormat="1" applyFont="1" applyBorder="1" applyAlignment="1">
      <alignment horizontal="center" vertical="center"/>
    </xf>
    <xf numFmtId="14" fontId="45" fillId="0" borderId="28" xfId="0" applyNumberFormat="1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44" fontId="21" fillId="16" borderId="31" xfId="1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8" fontId="21" fillId="0" borderId="0" xfId="4" applyNumberFormat="1" applyFont="1" applyAlignment="1">
      <alignment horizontal="center" vertical="center"/>
    </xf>
    <xf numFmtId="167" fontId="4" fillId="0" borderId="14" xfId="0" applyNumberFormat="1" applyFont="1" applyBorder="1" applyAlignment="1">
      <alignment horizontal="center" vertical="center"/>
    </xf>
    <xf numFmtId="165" fontId="44" fillId="0" borderId="0" xfId="0" applyNumberFormat="1" applyFont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54" fillId="27" borderId="8" xfId="0" applyFont="1" applyFill="1" applyBorder="1" applyAlignment="1">
      <alignment horizontal="right"/>
    </xf>
    <xf numFmtId="2" fontId="7" fillId="0" borderId="0" xfId="0" applyNumberFormat="1" applyFont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41" fillId="0" borderId="47" xfId="0" applyFont="1" applyBorder="1" applyAlignment="1">
      <alignment vertical="center"/>
    </xf>
    <xf numFmtId="0" fontId="62" fillId="0" borderId="26" xfId="0" applyFont="1" applyBorder="1" applyAlignment="1">
      <alignment horizontal="center" vertical="center"/>
    </xf>
    <xf numFmtId="165" fontId="31" fillId="0" borderId="0" xfId="0" applyNumberFormat="1" applyFont="1" applyAlignment="1">
      <alignment horizontal="center" vertical="center" readingOrder="2"/>
    </xf>
    <xf numFmtId="171" fontId="27" fillId="0" borderId="22" xfId="1" applyNumberFormat="1" applyFont="1" applyBorder="1" applyAlignment="1">
      <alignment horizontal="center" vertical="center"/>
    </xf>
    <xf numFmtId="165" fontId="61" fillId="0" borderId="30" xfId="0" applyNumberFormat="1" applyFont="1" applyBorder="1" applyAlignment="1">
      <alignment horizontal="center" vertical="center"/>
    </xf>
    <xf numFmtId="0" fontId="63" fillId="0" borderId="0" xfId="0" applyFont="1"/>
    <xf numFmtId="0" fontId="27" fillId="0" borderId="52" xfId="0" applyFont="1" applyBorder="1" applyAlignment="1">
      <alignment horizontal="center" vertical="center"/>
    </xf>
    <xf numFmtId="1" fontId="57" fillId="11" borderId="52" xfId="0" applyNumberFormat="1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54" fillId="19" borderId="8" xfId="0" applyFont="1" applyFill="1" applyBorder="1" applyAlignment="1">
      <alignment horizontal="right"/>
    </xf>
    <xf numFmtId="0" fontId="27" fillId="15" borderId="52" xfId="0" applyFont="1" applyFill="1" applyBorder="1" applyAlignment="1">
      <alignment horizontal="center" vertical="center"/>
    </xf>
    <xf numFmtId="1" fontId="27" fillId="0" borderId="52" xfId="0" applyNumberFormat="1" applyFont="1" applyBorder="1" applyAlignment="1">
      <alignment horizontal="center" vertical="center"/>
    </xf>
    <xf numFmtId="0" fontId="44" fillId="19" borderId="8" xfId="0" applyFont="1" applyFill="1" applyBorder="1" applyAlignment="1">
      <alignment horizontal="center"/>
    </xf>
    <xf numFmtId="0" fontId="45" fillId="19" borderId="8" xfId="0" applyFont="1" applyFill="1" applyBorder="1" applyAlignment="1">
      <alignment horizontal="center" vertical="center"/>
    </xf>
    <xf numFmtId="165" fontId="64" fillId="0" borderId="0" xfId="0" applyNumberFormat="1" applyFont="1" applyAlignment="1">
      <alignment horizontal="center" vertical="center"/>
    </xf>
    <xf numFmtId="165" fontId="60" fillId="0" borderId="0" xfId="0" applyNumberFormat="1" applyFont="1" applyAlignment="1">
      <alignment horizontal="center" vertical="center"/>
    </xf>
    <xf numFmtId="0" fontId="65" fillId="0" borderId="0" xfId="0" applyFont="1" applyAlignment="1">
      <alignment vertical="center"/>
    </xf>
    <xf numFmtId="0" fontId="66" fillId="0" borderId="0" xfId="0" applyFont="1" applyAlignment="1">
      <alignment horizontal="right" vertical="center" readingOrder="2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horizontal="right" vertical="center"/>
    </xf>
    <xf numFmtId="2" fontId="44" fillId="19" borderId="8" xfId="0" applyNumberFormat="1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 vertical="center" wrapText="1"/>
    </xf>
    <xf numFmtId="0" fontId="7" fillId="4" borderId="45" xfId="0" applyFont="1" applyFill="1" applyBorder="1" applyAlignment="1">
      <alignment horizontal="center" vertical="center" wrapText="1"/>
    </xf>
    <xf numFmtId="0" fontId="67" fillId="0" borderId="0" xfId="0" applyFont="1" applyAlignment="1">
      <alignment vertical="center"/>
    </xf>
    <xf numFmtId="0" fontId="68" fillId="0" borderId="0" xfId="0" applyFont="1" applyAlignment="1">
      <alignment horizontal="right" vertical="center" readingOrder="2"/>
    </xf>
    <xf numFmtId="0" fontId="67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9" fillId="0" borderId="0" xfId="0" applyFont="1" applyAlignment="1">
      <alignment vertical="center"/>
    </xf>
    <xf numFmtId="0" fontId="0" fillId="19" borderId="8" xfId="0" applyFill="1" applyBorder="1" applyAlignment="1">
      <alignment horizontal="center" vertical="center"/>
    </xf>
    <xf numFmtId="0" fontId="70" fillId="0" borderId="28" xfId="0" applyFont="1" applyBorder="1" applyAlignment="1">
      <alignment horizontal="right" vertical="center"/>
    </xf>
    <xf numFmtId="164" fontId="27" fillId="0" borderId="52" xfId="0" applyNumberFormat="1" applyFont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3" fillId="12" borderId="44" xfId="0" applyFont="1" applyFill="1" applyBorder="1" applyAlignment="1" applyProtection="1">
      <alignment horizontal="right" vertical="top" wrapText="1" readingOrder="1"/>
      <protection locked="0"/>
    </xf>
    <xf numFmtId="43" fontId="73" fillId="12" borderId="44" xfId="4" applyFont="1" applyFill="1" applyBorder="1" applyAlignment="1" applyProtection="1">
      <alignment horizontal="right" vertical="top" wrapText="1" readingOrder="1"/>
      <protection locked="0"/>
    </xf>
    <xf numFmtId="44" fontId="44" fillId="0" borderId="28" xfId="0" applyNumberFormat="1" applyFont="1" applyBorder="1" applyAlignment="1">
      <alignment horizontal="center" vertical="center"/>
    </xf>
    <xf numFmtId="44" fontId="61" fillId="0" borderId="28" xfId="0" applyNumberFormat="1" applyFont="1" applyBorder="1" applyAlignment="1">
      <alignment horizontal="center" vertical="center"/>
    </xf>
    <xf numFmtId="165" fontId="61" fillId="0" borderId="28" xfId="0" applyNumberFormat="1" applyFont="1" applyBorder="1" applyAlignment="1">
      <alignment horizontal="center" vertical="center"/>
    </xf>
    <xf numFmtId="165" fontId="44" fillId="0" borderId="28" xfId="0" applyNumberFormat="1" applyFont="1" applyBorder="1" applyAlignment="1">
      <alignment horizontal="center" vertical="center"/>
    </xf>
    <xf numFmtId="1" fontId="44" fillId="19" borderId="8" xfId="0" applyNumberFormat="1" applyFont="1" applyFill="1" applyBorder="1" applyAlignment="1">
      <alignment horizontal="center"/>
    </xf>
    <xf numFmtId="0" fontId="44" fillId="2" borderId="45" xfId="0" applyFont="1" applyFill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5" fontId="74" fillId="0" borderId="0" xfId="0" applyNumberFormat="1" applyFont="1" applyAlignment="1">
      <alignment horizontal="center" vertical="center"/>
    </xf>
    <xf numFmtId="0" fontId="44" fillId="0" borderId="8" xfId="0" applyFont="1" applyBorder="1" applyAlignment="1">
      <alignment horizontal="right"/>
    </xf>
    <xf numFmtId="0" fontId="44" fillId="0" borderId="8" xfId="0" applyFont="1" applyBorder="1" applyAlignment="1">
      <alignment horizontal="center" vertical="center"/>
    </xf>
    <xf numFmtId="0" fontId="75" fillId="0" borderId="0" xfId="0" applyFont="1" applyAlignment="1">
      <alignment vertical="center"/>
    </xf>
    <xf numFmtId="0" fontId="76" fillId="0" borderId="0" xfId="0" applyFont="1" applyAlignment="1">
      <alignment horizontal="right" vertical="center" readingOrder="2"/>
    </xf>
    <xf numFmtId="0" fontId="75" fillId="0" borderId="0" xfId="0" applyFont="1" applyAlignment="1">
      <alignment horizontal="center" vertical="center"/>
    </xf>
    <xf numFmtId="0" fontId="44" fillId="0" borderId="8" xfId="0" applyFont="1" applyBorder="1" applyAlignment="1">
      <alignment horizontal="center"/>
    </xf>
    <xf numFmtId="0" fontId="45" fillId="0" borderId="8" xfId="0" applyFont="1" applyBorder="1" applyAlignment="1">
      <alignment horizontal="center" vertical="center"/>
    </xf>
    <xf numFmtId="0" fontId="77" fillId="29" borderId="44" xfId="0" applyFont="1" applyFill="1" applyBorder="1" applyAlignment="1">
      <alignment horizontal="center" vertical="top" wrapText="1" readingOrder="2"/>
    </xf>
    <xf numFmtId="0" fontId="78" fillId="30" borderId="44" xfId="0" applyFont="1" applyFill="1" applyBorder="1" applyAlignment="1">
      <alignment horizontal="right" vertical="top" wrapText="1" readingOrder="2"/>
    </xf>
    <xf numFmtId="0" fontId="78" fillId="31" borderId="44" xfId="0" applyFont="1" applyFill="1" applyBorder="1" applyAlignment="1">
      <alignment horizontal="right" vertical="top" wrapText="1" readingOrder="2"/>
    </xf>
    <xf numFmtId="17" fontId="80" fillId="32" borderId="48" xfId="0" applyNumberFormat="1" applyFont="1" applyFill="1" applyBorder="1" applyAlignment="1">
      <alignment horizontal="center" vertical="center"/>
    </xf>
    <xf numFmtId="0" fontId="40" fillId="0" borderId="55" xfId="0" applyFont="1" applyBorder="1" applyAlignment="1">
      <alignment horizontal="center" vertical="center"/>
    </xf>
    <xf numFmtId="0" fontId="40" fillId="33" borderId="56" xfId="0" applyFont="1" applyFill="1" applyBorder="1" applyAlignment="1">
      <alignment horizontal="center" vertical="center" wrapText="1"/>
    </xf>
    <xf numFmtId="0" fontId="40" fillId="34" borderId="56" xfId="0" applyFont="1" applyFill="1" applyBorder="1" applyAlignment="1">
      <alignment horizontal="center" vertical="center" wrapText="1"/>
    </xf>
    <xf numFmtId="0" fontId="40" fillId="18" borderId="56" xfId="0" applyFont="1" applyFill="1" applyBorder="1" applyAlignment="1">
      <alignment horizontal="center" vertical="center" wrapText="1"/>
    </xf>
    <xf numFmtId="0" fontId="40" fillId="20" borderId="56" xfId="0" applyFont="1" applyFill="1" applyBorder="1" applyAlignment="1">
      <alignment horizontal="center" vertical="center" wrapText="1"/>
    </xf>
    <xf numFmtId="0" fontId="82" fillId="35" borderId="56" xfId="0" applyFont="1" applyFill="1" applyBorder="1" applyAlignment="1">
      <alignment horizontal="center" vertical="center" wrapText="1" readingOrder="2"/>
    </xf>
    <xf numFmtId="0" fontId="82" fillId="36" borderId="27" xfId="0" applyFont="1" applyFill="1" applyBorder="1" applyAlignment="1">
      <alignment horizontal="center" vertical="center"/>
    </xf>
    <xf numFmtId="0" fontId="0" fillId="33" borderId="45" xfId="0" applyFill="1" applyBorder="1" applyAlignment="1">
      <alignment horizontal="center" vertical="center"/>
    </xf>
    <xf numFmtId="0" fontId="45" fillId="0" borderId="45" xfId="0" applyFont="1" applyBorder="1" applyAlignment="1">
      <alignment horizontal="center" vertical="center"/>
    </xf>
    <xf numFmtId="0" fontId="45" fillId="34" borderId="45" xfId="0" applyFont="1" applyFill="1" applyBorder="1" applyAlignment="1">
      <alignment horizontal="center" vertical="center"/>
    </xf>
    <xf numFmtId="168" fontId="45" fillId="0" borderId="8" xfId="7" applyNumberFormat="1" applyFont="1" applyBorder="1" applyAlignment="1">
      <alignment horizontal="center" vertical="center"/>
    </xf>
    <xf numFmtId="0" fontId="45" fillId="18" borderId="45" xfId="0" applyFont="1" applyFill="1" applyBorder="1" applyAlignment="1">
      <alignment horizontal="center" vertical="center"/>
    </xf>
    <xf numFmtId="168" fontId="45" fillId="0" borderId="8" xfId="4" applyNumberFormat="1" applyFont="1" applyBorder="1" applyAlignment="1">
      <alignment horizontal="center" vertical="center"/>
    </xf>
    <xf numFmtId="0" fontId="45" fillId="20" borderId="45" xfId="0" applyFont="1" applyFill="1" applyBorder="1" applyAlignment="1">
      <alignment horizontal="center" vertical="center"/>
    </xf>
    <xf numFmtId="43" fontId="38" fillId="0" borderId="45" xfId="4" applyFont="1" applyBorder="1" applyAlignment="1">
      <alignment horizontal="center" vertical="center"/>
    </xf>
    <xf numFmtId="43" fontId="54" fillId="0" borderId="45" xfId="7" applyFont="1" applyBorder="1" applyAlignment="1">
      <alignment horizontal="center" vertical="center" readingOrder="2"/>
    </xf>
    <xf numFmtId="0" fontId="83" fillId="36" borderId="27" xfId="0" applyFont="1" applyFill="1" applyBorder="1" applyAlignment="1">
      <alignment horizontal="center" vertical="center"/>
    </xf>
    <xf numFmtId="0" fontId="45" fillId="33" borderId="45" xfId="0" applyFont="1" applyFill="1" applyBorder="1" applyAlignment="1">
      <alignment horizontal="center" vertical="center"/>
    </xf>
    <xf numFmtId="0" fontId="0" fillId="4" borderId="55" xfId="0" applyFill="1" applyBorder="1" applyAlignment="1">
      <alignment horizontal="center" vertical="center"/>
    </xf>
    <xf numFmtId="43" fontId="27" fillId="4" borderId="22" xfId="4" applyFont="1" applyFill="1" applyBorder="1" applyAlignment="1">
      <alignment horizontal="center" vertical="center"/>
    </xf>
    <xf numFmtId="0" fontId="27" fillId="4" borderId="56" xfId="0" applyFont="1" applyFill="1" applyBorder="1" applyAlignment="1">
      <alignment horizontal="center" vertical="center"/>
    </xf>
    <xf numFmtId="43" fontId="84" fillId="35" borderId="22" xfId="7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 readingOrder="2"/>
    </xf>
    <xf numFmtId="0" fontId="28" fillId="0" borderId="0" xfId="0" applyFont="1" applyAlignment="1">
      <alignment horizontal="center" vertical="center" readingOrder="2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1" fillId="0" borderId="18" xfId="0" applyFont="1" applyBorder="1" applyAlignment="1">
      <alignment horizontal="center" textRotation="135"/>
    </xf>
    <xf numFmtId="0" fontId="41" fillId="0" borderId="45" xfId="0" applyFont="1" applyBorder="1" applyAlignment="1">
      <alignment horizontal="center" textRotation="135"/>
    </xf>
    <xf numFmtId="0" fontId="14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41" fillId="0" borderId="18" xfId="0" applyFont="1" applyBorder="1" applyAlignment="1">
      <alignment horizontal="center" vertical="center" textRotation="135"/>
    </xf>
    <xf numFmtId="0" fontId="41" fillId="0" borderId="47" xfId="0" applyFont="1" applyBorder="1" applyAlignment="1">
      <alignment horizontal="center" vertical="center" textRotation="135"/>
    </xf>
    <xf numFmtId="0" fontId="41" fillId="0" borderId="45" xfId="0" applyFont="1" applyBorder="1" applyAlignment="1">
      <alignment horizontal="center" vertical="center" textRotation="135"/>
    </xf>
    <xf numFmtId="0" fontId="78" fillId="30" borderId="53" xfId="0" applyFont="1" applyFill="1" applyBorder="1" applyAlignment="1">
      <alignment horizontal="right" vertical="top" wrapText="1" readingOrder="2"/>
    </xf>
    <xf numFmtId="0" fontId="79" fillId="0" borderId="54" xfId="0" applyFont="1" applyBorder="1" applyAlignment="1">
      <alignment vertical="top" wrapText="1"/>
    </xf>
    <xf numFmtId="0" fontId="39" fillId="0" borderId="34" xfId="0" applyFont="1" applyBorder="1" applyAlignment="1">
      <alignment horizontal="center" vertical="center"/>
    </xf>
    <xf numFmtId="0" fontId="39" fillId="0" borderId="38" xfId="0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/>
    </xf>
    <xf numFmtId="172" fontId="39" fillId="0" borderId="38" xfId="0" applyNumberFormat="1" applyFont="1" applyBorder="1" applyAlignment="1">
      <alignment horizontal="center" vertical="center"/>
    </xf>
    <xf numFmtId="172" fontId="39" fillId="0" borderId="42" xfId="0" applyNumberFormat="1" applyFont="1" applyBorder="1" applyAlignment="1">
      <alignment horizontal="center" vertical="center"/>
    </xf>
    <xf numFmtId="2" fontId="39" fillId="0" borderId="35" xfId="0" applyNumberFormat="1" applyFont="1" applyBorder="1" applyAlignment="1">
      <alignment horizontal="center" vertical="center"/>
    </xf>
    <xf numFmtId="0" fontId="39" fillId="0" borderId="43" xfId="0" applyFont="1" applyBorder="1" applyAlignment="1">
      <alignment horizontal="center" vertical="center"/>
    </xf>
  </cellXfs>
  <cellStyles count="30">
    <cellStyle name="60% - הדגשה5 2" xfId="12" xr:uid="{00000000-0005-0000-0000-000000000000}"/>
    <cellStyle name="Comma" xfId="4" builtinId="3"/>
    <cellStyle name="Comma 2" xfId="7" xr:uid="{00000000-0005-0000-0000-000002000000}"/>
    <cellStyle name="Comma 2 2" xfId="16" xr:uid="{00000000-0005-0000-0000-000003000000}"/>
    <cellStyle name="Comma 2 2 2" xfId="28" xr:uid="{00000000-0005-0000-0000-000004000000}"/>
    <cellStyle name="Comma 2 3" xfId="11" xr:uid="{00000000-0005-0000-0000-000005000000}"/>
    <cellStyle name="Comma 2 3 2" xfId="24" xr:uid="{00000000-0005-0000-0000-000006000000}"/>
    <cellStyle name="Comma 2 4" xfId="20" xr:uid="{00000000-0005-0000-0000-000007000000}"/>
    <cellStyle name="Comma 3" xfId="14" xr:uid="{00000000-0005-0000-0000-000008000000}"/>
    <cellStyle name="Comma 3 2" xfId="26" xr:uid="{00000000-0005-0000-0000-000009000000}"/>
    <cellStyle name="Comma 4" xfId="9" xr:uid="{00000000-0005-0000-0000-00000A000000}"/>
    <cellStyle name="Comma 4 2" xfId="22" xr:uid="{00000000-0005-0000-0000-00000B000000}"/>
    <cellStyle name="Comma 5" xfId="18" xr:uid="{00000000-0005-0000-0000-00000C000000}"/>
    <cellStyle name="Currency" xfId="1" builtinId="4"/>
    <cellStyle name="Currency 2" xfId="6" xr:uid="{00000000-0005-0000-0000-00000E000000}"/>
    <cellStyle name="Currency 2 2" xfId="15" xr:uid="{00000000-0005-0000-0000-00000F000000}"/>
    <cellStyle name="Currency 2 2 2" xfId="27" xr:uid="{00000000-0005-0000-0000-000010000000}"/>
    <cellStyle name="Currency 2 3" xfId="10" xr:uid="{00000000-0005-0000-0000-000011000000}"/>
    <cellStyle name="Currency 2 3 2" xfId="23" xr:uid="{00000000-0005-0000-0000-000012000000}"/>
    <cellStyle name="Currency 2 4" xfId="19" xr:uid="{00000000-0005-0000-0000-000013000000}"/>
    <cellStyle name="Currency 3" xfId="13" xr:uid="{00000000-0005-0000-0000-000014000000}"/>
    <cellStyle name="Currency 3 2" xfId="25" xr:uid="{00000000-0005-0000-0000-000015000000}"/>
    <cellStyle name="Currency 4" xfId="8" xr:uid="{00000000-0005-0000-0000-000016000000}"/>
    <cellStyle name="Currency 4 2" xfId="21" xr:uid="{00000000-0005-0000-0000-000017000000}"/>
    <cellStyle name="Currency 5" xfId="17" xr:uid="{00000000-0005-0000-0000-000018000000}"/>
    <cellStyle name="Normal" xfId="0" builtinId="0"/>
    <cellStyle name="Normal 2" xfId="29" xr:uid="{00000000-0005-0000-0000-00001A000000}"/>
    <cellStyle name="Normal 3" xfId="3" xr:uid="{00000000-0005-0000-0000-00001B000000}"/>
    <cellStyle name="Normal_Sheet1" xfId="2" xr:uid="{00000000-0005-0000-0000-00001C000000}"/>
    <cellStyle name="טוב" xfId="5" builtinId="26"/>
  </cellStyles>
  <dxfs count="0"/>
  <tableStyles count="0" defaultTableStyle="TableStyleMedium2" defaultPivotStyle="PivotStyleLight16"/>
  <colors>
    <mruColors>
      <color rgb="FFFFFF99"/>
      <color rgb="FF0066FF"/>
      <color rgb="FFFFFFCC"/>
      <color rgb="FFFFFF66"/>
      <color rgb="FFCCFF99"/>
      <color rgb="FFFF9999"/>
      <color rgb="FF66FF66"/>
      <color rgb="FFFF66FF"/>
      <color rgb="FFCCFFFF"/>
      <color rgb="FF76AB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מנהל חדר כושר" refreshedDate="43445.554556944444" createdVersion="6" refreshedVersion="6" minRefreshableVersion="3" recordCount="69" xr:uid="{00000000-000A-0000-FFFF-FFFF06000000}">
  <cacheSource type="worksheet">
    <worksheetSource ref="A1:N70" sheet="דוח אימוני סטודיו"/>
  </cacheSource>
  <cacheFields count="14">
    <cacheField name="תאריך" numFmtId="14">
      <sharedItems containsSemiMixedTypes="0" containsNonDate="0" containsDate="1" containsString="0" minDate="2018-11-01T00:00:00" maxDate="2018-11-30T00:00:00"/>
    </cacheField>
    <cacheField name="יום" numFmtId="0">
      <sharedItems/>
    </cacheField>
    <cacheField name="שעת התחלה" numFmtId="21">
      <sharedItems containsSemiMixedTypes="0" containsNonDate="0" containsDate="1" containsString="0" minDate="1899-12-30T07:30:00" maxDate="1899-12-30T19:00:00"/>
    </cacheField>
    <cacheField name="שעת סיום" numFmtId="21">
      <sharedItems containsSemiMixedTypes="0" containsNonDate="0" containsDate="1" containsString="0" minDate="1899-12-30T08:20:00" maxDate="1899-12-30T19:50:00"/>
    </cacheField>
    <cacheField name="סך שעות" numFmtId="0">
      <sharedItems containsSemiMixedTypes="0" containsString="0" containsNumber="1" minValue="0.83299999999999996" maxValue="0.83299999999999996"/>
    </cacheField>
    <cacheField name="סך דקות" numFmtId="0">
      <sharedItems containsSemiMixedTypes="0" containsString="0" containsNumber="1" containsInteger="1" minValue="50" maxValue="50"/>
    </cacheField>
    <cacheField name="סטטוס" numFmtId="0">
      <sharedItems count="2">
        <s v="מתקיים"/>
        <s v="השיעור בוטל"/>
      </sharedItems>
    </cacheField>
    <cacheField name="מאמן משני" numFmtId="0">
      <sharedItems count="10">
        <s v="זהבה מז'יבובסקי"/>
        <s v=" "/>
        <s v="עדי סרי"/>
        <s v="ברק ביטון"/>
        <s v="רועי עתריה"/>
        <s v="מורן גרינשטיין"/>
        <s v="גיל בקמן"/>
        <s v="אור-ים זגורי"/>
        <s v="ליהי אברמזון"/>
        <s v="מתן הלוי"/>
      </sharedItems>
    </cacheField>
    <cacheField name="מאמן" numFmtId="0">
      <sharedItems/>
    </cacheField>
    <cacheField name="אימון" numFmtId="0">
      <sharedItems/>
    </cacheField>
    <cacheField name="רישומי מתאמנים" numFmtId="0">
      <sharedItems containsSemiMixedTypes="0" containsString="0" containsNumber="1" containsInteger="1" minValue="0" maxValue="15"/>
    </cacheField>
    <cacheField name="צ'ק אין" numFmtId="0">
      <sharedItems containsSemiMixedTypes="0" containsString="0" containsNumber="1" containsInteger="1" minValue="0" maxValue="13"/>
    </cacheField>
    <cacheField name="רשימת המתנה" numFmtId="0">
      <sharedItems containsSemiMixedTypes="0" containsString="0" containsNumber="1" containsInteger="1" minValue="0" maxValue="31"/>
    </cacheField>
    <cacheField name="סניף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מנהל חדר כושר" refreshedDate="43506.666962962961" createdVersion="6" refreshedVersion="6" minRefreshableVersion="3" recordCount="88" xr:uid="{00000000-000A-0000-FFFF-FFFF07000000}">
  <cacheSource type="worksheet">
    <worksheetSource ref="A1:O89" sheet="גיליון1"/>
  </cacheSource>
  <cacheFields count="15">
    <cacheField name="תאריך" numFmtId="14">
      <sharedItems containsSemiMixedTypes="0" containsNonDate="0" containsDate="1" containsString="0" minDate="2019-01-01T00:00:00" maxDate="2019-02-01T00:00:00"/>
    </cacheField>
    <cacheField name="יום" numFmtId="0">
      <sharedItems/>
    </cacheField>
    <cacheField name="שעת התחלה" numFmtId="21">
      <sharedItems containsSemiMixedTypes="0" containsNonDate="0" containsDate="1" containsString="0" minDate="1899-12-30T07:30:00" maxDate="1899-12-30T19:00:00"/>
    </cacheField>
    <cacheField name="שעת סיום" numFmtId="21">
      <sharedItems containsSemiMixedTypes="0" containsNonDate="0" containsDate="1" containsString="0" minDate="1899-12-30T08:20:00" maxDate="1899-12-30T19:50:00"/>
    </cacheField>
    <cacheField name="סך שעות" numFmtId="0">
      <sharedItems containsSemiMixedTypes="0" containsString="0" containsNumber="1" minValue="0.83299999999999996" maxValue="0.83299999999999996"/>
    </cacheField>
    <cacheField name="סך דקות" numFmtId="0">
      <sharedItems containsSemiMixedTypes="0" containsString="0" containsNumber="1" containsInteger="1" minValue="50" maxValue="50"/>
    </cacheField>
    <cacheField name="סטטוס" numFmtId="0">
      <sharedItems/>
    </cacheField>
    <cacheField name="מאמן משני" numFmtId="0">
      <sharedItems count="12">
        <s v="אור-ים זגורי"/>
        <s v="זהבה מז'יבובסקי"/>
        <s v="ליהי אברמזון"/>
        <s v="ליאורה נוריאל"/>
        <s v="עדי סרי"/>
        <s v="ליאל ויינברגר"/>
        <s v="ספיר ילינביץ'"/>
        <s v="ברק ביטון"/>
        <s v="מורן גרינשטיין"/>
        <s v="דניאלה גכטמן"/>
        <s v="עמית אבן"/>
        <s v="שמוליק בריל"/>
      </sharedItems>
    </cacheField>
    <cacheField name="מאמן" numFmtId="0">
      <sharedItems count="1">
        <s v=" "/>
      </sharedItems>
    </cacheField>
    <cacheField name="אימון" numFmtId="0">
      <sharedItems/>
    </cacheField>
    <cacheField name="רישומי מתאמנים" numFmtId="0">
      <sharedItems containsSemiMixedTypes="0" containsString="0" containsNumber="1" containsInteger="1" minValue="4" maxValue="20"/>
    </cacheField>
    <cacheField name="אחוז תפוסה" numFmtId="0">
      <sharedItems containsSemiMixedTypes="0" containsString="0" containsNumber="1" minValue="33.33" maxValue="126.67"/>
    </cacheField>
    <cacheField name="צ'ק אין" numFmtId="0">
      <sharedItems containsSemiMixedTypes="0" containsString="0" containsNumber="1" containsInteger="1" minValue="0" maxValue="18"/>
    </cacheField>
    <cacheField name="רשימת המתנה" numFmtId="0">
      <sharedItems containsSemiMixedTypes="0" containsString="0" containsNumber="1" containsInteger="1" minValue="0" maxValue="16"/>
    </cacheField>
    <cacheField name="סניף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">
  <r>
    <d v="2018-11-01T00:00:00"/>
    <s v="חמישי"/>
    <d v="1899-12-30T08:00:00"/>
    <d v="1899-12-30T08:50:00"/>
    <n v="0.83299999999999996"/>
    <n v="50"/>
    <x v="0"/>
    <x v="0"/>
    <s v=" "/>
    <s v="HIIT TRX"/>
    <n v="7"/>
    <n v="7"/>
    <n v="17"/>
    <s v="Alon Towers"/>
  </r>
  <r>
    <d v="2018-11-01T00:00:00"/>
    <s v="חמישי"/>
    <d v="1899-12-30T18:00:00"/>
    <d v="1899-12-30T18:50:00"/>
    <n v="0.83299999999999996"/>
    <n v="50"/>
    <x v="0"/>
    <x v="1"/>
    <s v=" "/>
    <s v="יוגה"/>
    <n v="10"/>
    <n v="6"/>
    <n v="31"/>
    <s v="Alon Towers"/>
  </r>
  <r>
    <d v="2018-11-04T00:00:00"/>
    <s v="ראשון"/>
    <d v="1899-12-30T08:30:00"/>
    <d v="1899-12-30T09:20:00"/>
    <n v="0.83299999999999996"/>
    <n v="50"/>
    <x v="0"/>
    <x v="1"/>
    <s v=" "/>
    <s v="יוגה"/>
    <n v="10"/>
    <n v="0"/>
    <n v="6"/>
    <s v="Alon Towers"/>
  </r>
  <r>
    <d v="2018-11-04T00:00:00"/>
    <s v="ראשון"/>
    <d v="1899-12-30T18:00:00"/>
    <d v="1899-12-30T18:50:00"/>
    <n v="0.83299999999999996"/>
    <n v="50"/>
    <x v="0"/>
    <x v="2"/>
    <s v=" "/>
    <s v="ALON SKILL"/>
    <n v="12"/>
    <n v="11"/>
    <n v="0"/>
    <s v="Alon Towers"/>
  </r>
  <r>
    <d v="2018-11-04T00:00:00"/>
    <s v="ראשון"/>
    <d v="1899-12-30T19:00:00"/>
    <d v="1899-12-30T19:50:00"/>
    <n v="0.83299999999999996"/>
    <n v="50"/>
    <x v="0"/>
    <x v="3"/>
    <s v=" "/>
    <s v="HIIT TRX"/>
    <n v="9"/>
    <n v="9"/>
    <n v="0"/>
    <s v="Alon Towers"/>
  </r>
  <r>
    <d v="2018-11-05T00:00:00"/>
    <s v="שני"/>
    <d v="1899-12-30T07:30:00"/>
    <d v="1899-12-30T08:20:00"/>
    <n v="0.83299999999999996"/>
    <n v="50"/>
    <x v="0"/>
    <x v="2"/>
    <s v=" "/>
    <s v="פילאטיס"/>
    <n v="9"/>
    <n v="8"/>
    <n v="0"/>
    <s v="Alon Towers"/>
  </r>
  <r>
    <d v="2018-11-05T00:00:00"/>
    <s v="שני"/>
    <d v="1899-12-30T08:30:00"/>
    <d v="1899-12-30T09:20:00"/>
    <n v="0.83299999999999996"/>
    <n v="50"/>
    <x v="0"/>
    <x v="4"/>
    <s v=" "/>
    <s v="HIIT פונקציונלי"/>
    <n v="10"/>
    <n v="9"/>
    <n v="0"/>
    <s v="Alon Towers"/>
  </r>
  <r>
    <d v="2018-11-05T00:00:00"/>
    <s v="שני"/>
    <d v="1899-12-30T19:00:00"/>
    <d v="1899-12-30T19:50:00"/>
    <n v="0.83299999999999996"/>
    <n v="50"/>
    <x v="0"/>
    <x v="1"/>
    <s v=" "/>
    <s v="יוגה"/>
    <n v="10"/>
    <n v="8"/>
    <n v="6"/>
    <s v="Alon Towers"/>
  </r>
  <r>
    <d v="2018-11-06T00:00:00"/>
    <s v="שלישי"/>
    <d v="1899-12-30T18:00:00"/>
    <d v="1899-12-30T18:50:00"/>
    <n v="0.83299999999999996"/>
    <n v="50"/>
    <x v="0"/>
    <x v="5"/>
    <s v=" "/>
    <s v="HIIT פונקציונלי"/>
    <n v="12"/>
    <n v="9"/>
    <n v="0"/>
    <s v="Alon Towers"/>
  </r>
  <r>
    <d v="2018-11-06T00:00:00"/>
    <s v="שלישי"/>
    <d v="1899-12-30T07:30:00"/>
    <d v="1899-12-30T08:20:00"/>
    <n v="0.83299999999999996"/>
    <n v="50"/>
    <x v="0"/>
    <x v="6"/>
    <s v=" "/>
    <s v="יוגה"/>
    <n v="5"/>
    <n v="3"/>
    <n v="0"/>
    <s v="Alon Towers"/>
  </r>
  <r>
    <d v="2018-11-06T00:00:00"/>
    <s v="שלישי"/>
    <d v="1899-12-30T08:30:00"/>
    <d v="1899-12-30T09:20:00"/>
    <n v="0.83299999999999996"/>
    <n v="50"/>
    <x v="0"/>
    <x v="7"/>
    <s v=" "/>
    <s v="HIIT TRX"/>
    <n v="6"/>
    <n v="4"/>
    <n v="0"/>
    <s v="Alon Towers"/>
  </r>
  <r>
    <d v="2018-11-07T00:00:00"/>
    <s v="רביעי"/>
    <d v="1899-12-30T18:00:00"/>
    <d v="1899-12-30T18:50:00"/>
    <n v="0.83299999999999996"/>
    <n v="50"/>
    <x v="0"/>
    <x v="2"/>
    <s v=" "/>
    <s v="פילאטיס"/>
    <n v="10"/>
    <n v="9"/>
    <n v="12"/>
    <s v="Alon Towers"/>
  </r>
  <r>
    <d v="2018-11-07T00:00:00"/>
    <s v="רביעי"/>
    <d v="1899-12-30T07:30:00"/>
    <d v="1899-12-30T08:20:00"/>
    <n v="0.83299999999999996"/>
    <n v="50"/>
    <x v="0"/>
    <x v="0"/>
    <s v=" "/>
    <s v="HIIT פונקציונלי"/>
    <n v="11"/>
    <n v="8"/>
    <n v="0"/>
    <s v="Alon Towers"/>
  </r>
  <r>
    <d v="2018-11-07T00:00:00"/>
    <s v="רביעי"/>
    <d v="1899-12-30T19:00:00"/>
    <d v="1899-12-30T19:50:00"/>
    <n v="0.83299999999999996"/>
    <n v="50"/>
    <x v="0"/>
    <x v="2"/>
    <s v=" "/>
    <s v="ALON SKILL"/>
    <n v="14"/>
    <n v="12"/>
    <n v="0"/>
    <s v="Alon Towers"/>
  </r>
  <r>
    <d v="2018-11-08T00:00:00"/>
    <s v="חמישי"/>
    <d v="1899-12-30T08:30:00"/>
    <d v="1899-12-30T09:20:00"/>
    <n v="0.83299999999999996"/>
    <n v="50"/>
    <x v="0"/>
    <x v="0"/>
    <s v=" "/>
    <s v="ALON SKILL"/>
    <n v="12"/>
    <n v="12"/>
    <n v="0"/>
    <s v="Alon Towers"/>
  </r>
  <r>
    <d v="2018-11-08T00:00:00"/>
    <s v="חמישי"/>
    <d v="1899-12-30T18:00:00"/>
    <d v="1899-12-30T18:50:00"/>
    <n v="0.83299999999999996"/>
    <n v="50"/>
    <x v="0"/>
    <x v="8"/>
    <s v=" "/>
    <s v="יוגה"/>
    <n v="11"/>
    <n v="8"/>
    <n v="16"/>
    <s v="Alon Towers"/>
  </r>
  <r>
    <d v="2018-11-08T00:00:00"/>
    <s v="חמישי"/>
    <d v="1899-12-30T19:00:00"/>
    <d v="1899-12-30T19:50:00"/>
    <n v="0.83299999999999996"/>
    <n v="50"/>
    <x v="0"/>
    <x v="3"/>
    <s v=" "/>
    <s v="OUTDOOR FUNCTIONAL"/>
    <n v="10"/>
    <n v="7"/>
    <n v="0"/>
    <s v="Alon Towers"/>
  </r>
  <r>
    <d v="2018-11-11T00:00:00"/>
    <s v="ראשון"/>
    <d v="1899-12-30T07:30:00"/>
    <d v="1899-12-30T08:20:00"/>
    <n v="0.83299999999999996"/>
    <n v="50"/>
    <x v="0"/>
    <x v="8"/>
    <s v=" "/>
    <s v="יוגה"/>
    <n v="10"/>
    <n v="10"/>
    <n v="0"/>
    <s v="Alon Towers"/>
  </r>
  <r>
    <d v="2018-11-11T00:00:00"/>
    <s v="ראשון"/>
    <d v="1899-12-30T18:00:00"/>
    <d v="1899-12-30T18:50:00"/>
    <n v="0.83299999999999996"/>
    <n v="50"/>
    <x v="0"/>
    <x v="9"/>
    <s v=" "/>
    <s v="KICK AND SHAPE"/>
    <n v="10"/>
    <n v="10"/>
    <n v="0"/>
    <s v="Alon Towers"/>
  </r>
  <r>
    <d v="2018-11-11T00:00:00"/>
    <s v="ראשון"/>
    <d v="1899-12-30T19:00:00"/>
    <d v="1899-12-30T19:50:00"/>
    <n v="0.83299999999999996"/>
    <n v="50"/>
    <x v="0"/>
    <x v="2"/>
    <s v=" "/>
    <s v="פילאטיס"/>
    <n v="9"/>
    <n v="8"/>
    <n v="0"/>
    <s v="Alon Towers"/>
  </r>
  <r>
    <d v="2018-11-12T00:00:00"/>
    <s v="שני"/>
    <d v="1899-12-30T07:30:00"/>
    <d v="1899-12-30T08:20:00"/>
    <n v="0.83299999999999996"/>
    <n v="50"/>
    <x v="0"/>
    <x v="2"/>
    <s v=" "/>
    <s v="פילאטיס"/>
    <n v="10"/>
    <n v="9"/>
    <n v="0"/>
    <s v="Alon Towers"/>
  </r>
  <r>
    <d v="2018-11-12T00:00:00"/>
    <s v="שני"/>
    <d v="1899-12-30T08:30:00"/>
    <d v="1899-12-30T09:20:00"/>
    <n v="0.83299999999999996"/>
    <n v="50"/>
    <x v="0"/>
    <x v="2"/>
    <s v=" "/>
    <s v="ALON SKILL"/>
    <n v="11"/>
    <n v="10"/>
    <n v="0"/>
    <s v="Alon Towers"/>
  </r>
  <r>
    <d v="2018-11-12T00:00:00"/>
    <s v="שני"/>
    <d v="1899-12-30T18:00:00"/>
    <d v="1899-12-30T18:50:00"/>
    <n v="0.83299999999999996"/>
    <n v="50"/>
    <x v="0"/>
    <x v="5"/>
    <s v=" "/>
    <s v="HIIT TRX"/>
    <n v="7"/>
    <n v="7"/>
    <n v="0"/>
    <s v="Alon Towers"/>
  </r>
  <r>
    <d v="2018-11-12T00:00:00"/>
    <s v="שני"/>
    <d v="1899-12-30T19:00:00"/>
    <d v="1899-12-30T19:50:00"/>
    <n v="0.83299999999999996"/>
    <n v="50"/>
    <x v="0"/>
    <x v="8"/>
    <s v=" "/>
    <s v="יוגה"/>
    <n v="10"/>
    <n v="8"/>
    <n v="10"/>
    <s v="Alon Towers"/>
  </r>
  <r>
    <d v="2018-11-13T00:00:00"/>
    <s v="שלישי"/>
    <d v="1899-12-30T08:30:00"/>
    <d v="1899-12-30T09:20:00"/>
    <n v="0.83299999999999996"/>
    <n v="50"/>
    <x v="0"/>
    <x v="4"/>
    <s v=" "/>
    <s v="HIIT פונקציונלי"/>
    <n v="6"/>
    <n v="5"/>
    <n v="0"/>
    <s v="Alon Towers"/>
  </r>
  <r>
    <d v="2018-11-13T00:00:00"/>
    <s v="שלישי"/>
    <d v="1899-12-30T18:00:00"/>
    <d v="1899-12-30T18:50:00"/>
    <n v="0.83299999999999996"/>
    <n v="50"/>
    <x v="0"/>
    <x v="3"/>
    <s v=" "/>
    <s v="OUTDOOR FUNCTIONAL"/>
    <n v="12"/>
    <n v="10"/>
    <n v="0"/>
    <s v="Alon Towers"/>
  </r>
  <r>
    <d v="2018-11-13T00:00:00"/>
    <s v="שלישי"/>
    <d v="1899-12-30T19:00:00"/>
    <d v="1899-12-30T19:50:00"/>
    <n v="0.83299999999999996"/>
    <n v="50"/>
    <x v="1"/>
    <x v="0"/>
    <s v=" "/>
    <s v="ALON SKILL"/>
    <n v="0"/>
    <n v="0"/>
    <n v="0"/>
    <s v="Alon Towers"/>
  </r>
  <r>
    <d v="2018-11-14T00:00:00"/>
    <s v="רביעי"/>
    <d v="1899-12-30T18:00:00"/>
    <d v="1899-12-30T18:50:00"/>
    <n v="0.83299999999999996"/>
    <n v="50"/>
    <x v="0"/>
    <x v="2"/>
    <s v=" "/>
    <s v="פילאטיס"/>
    <n v="10"/>
    <n v="8"/>
    <n v="6"/>
    <s v="Alon Towers"/>
  </r>
  <r>
    <d v="2018-11-14T00:00:00"/>
    <s v="רביעי"/>
    <d v="1899-12-30T07:30:00"/>
    <d v="1899-12-30T08:20:00"/>
    <n v="0.83299999999999996"/>
    <n v="50"/>
    <x v="0"/>
    <x v="7"/>
    <s v=" "/>
    <s v="HIIT פונקציונלי"/>
    <n v="12"/>
    <n v="11"/>
    <n v="0"/>
    <s v="Alon Towers"/>
  </r>
  <r>
    <d v="2018-11-14T00:00:00"/>
    <s v="רביעי"/>
    <d v="1899-12-30T08:30:00"/>
    <d v="1899-12-30T09:20:00"/>
    <n v="0.83299999999999996"/>
    <n v="50"/>
    <x v="0"/>
    <x v="6"/>
    <s v=" "/>
    <s v="יוגה"/>
    <n v="9"/>
    <n v="7"/>
    <n v="0"/>
    <s v="Alon Towers"/>
  </r>
  <r>
    <d v="2018-11-14T00:00:00"/>
    <s v="רביעי"/>
    <d v="1899-12-30T19:00:00"/>
    <d v="1899-12-30T19:50:00"/>
    <n v="0.83299999999999996"/>
    <n v="50"/>
    <x v="0"/>
    <x v="2"/>
    <s v=" "/>
    <s v="ALON SKILL"/>
    <n v="5"/>
    <n v="4"/>
    <n v="0"/>
    <s v="Alon Towers"/>
  </r>
  <r>
    <d v="2018-11-15T00:00:00"/>
    <s v="חמישי"/>
    <d v="1899-12-30T08:30:00"/>
    <d v="1899-12-30T09:20:00"/>
    <n v="0.83299999999999996"/>
    <n v="50"/>
    <x v="0"/>
    <x v="0"/>
    <s v=" "/>
    <s v="HIIT TRX"/>
    <n v="6"/>
    <n v="6"/>
    <n v="0"/>
    <s v="Alon Towers"/>
  </r>
  <r>
    <d v="2018-11-15T00:00:00"/>
    <s v="חמישי"/>
    <d v="1899-12-30T18:00:00"/>
    <d v="1899-12-30T18:50:00"/>
    <n v="0.83299999999999996"/>
    <n v="50"/>
    <x v="0"/>
    <x v="6"/>
    <s v=" "/>
    <s v="יוגה"/>
    <n v="10"/>
    <n v="10"/>
    <n v="11"/>
    <s v="Alon Towers"/>
  </r>
  <r>
    <d v="2018-11-15T00:00:00"/>
    <s v="חמישי"/>
    <d v="1899-12-30T19:00:00"/>
    <d v="1899-12-30T19:50:00"/>
    <n v="0.83299999999999996"/>
    <n v="50"/>
    <x v="0"/>
    <x v="3"/>
    <s v=" "/>
    <s v="HIIT פונקציונלי"/>
    <n v="13"/>
    <n v="13"/>
    <n v="0"/>
    <s v="Alon Towers"/>
  </r>
  <r>
    <d v="2018-11-18T00:00:00"/>
    <s v="ראשון"/>
    <d v="1899-12-30T07:30:00"/>
    <d v="1899-12-30T08:20:00"/>
    <n v="0.83299999999999996"/>
    <n v="50"/>
    <x v="0"/>
    <x v="6"/>
    <s v=" "/>
    <s v="יוגה"/>
    <n v="7"/>
    <n v="7"/>
    <n v="0"/>
    <s v="Alon Towers"/>
  </r>
  <r>
    <d v="2018-11-18T00:00:00"/>
    <s v="ראשון"/>
    <d v="1899-12-30T18:00:00"/>
    <d v="1899-12-30T18:50:00"/>
    <n v="0.83299999999999996"/>
    <n v="50"/>
    <x v="0"/>
    <x v="9"/>
    <s v=" "/>
    <s v="KICKBOX"/>
    <n v="10"/>
    <n v="8"/>
    <n v="0"/>
    <s v="Alon Towers"/>
  </r>
  <r>
    <d v="2018-11-18T00:00:00"/>
    <s v="ראשון"/>
    <d v="1899-12-30T08:30:00"/>
    <d v="1899-12-30T09:20:00"/>
    <n v="0.83299999999999996"/>
    <n v="50"/>
    <x v="0"/>
    <x v="4"/>
    <s v=" "/>
    <s v="HIIT TRX"/>
    <n v="10"/>
    <n v="10"/>
    <n v="0"/>
    <s v="Alon Towers"/>
  </r>
  <r>
    <d v="2018-11-19T00:00:00"/>
    <s v="שני"/>
    <d v="1899-12-30T07:30:00"/>
    <d v="1899-12-30T08:20:00"/>
    <n v="0.83299999999999996"/>
    <n v="50"/>
    <x v="0"/>
    <x v="2"/>
    <s v=" "/>
    <s v="פילאטיס"/>
    <n v="8"/>
    <n v="7"/>
    <n v="0"/>
    <s v="Alon Towers"/>
  </r>
  <r>
    <d v="2018-11-19T00:00:00"/>
    <s v="שני"/>
    <d v="1899-12-30T18:00:00"/>
    <d v="1899-12-30T18:50:00"/>
    <n v="0.83299999999999996"/>
    <n v="50"/>
    <x v="0"/>
    <x v="5"/>
    <s v=" "/>
    <s v="HIIT פונקציונלי"/>
    <n v="11"/>
    <n v="11"/>
    <n v="0"/>
    <s v="Alon Towers"/>
  </r>
  <r>
    <d v="2018-11-19T00:00:00"/>
    <s v="שני"/>
    <d v="1899-12-30T08:30:00"/>
    <d v="1899-12-30T09:20:00"/>
    <n v="0.83299999999999996"/>
    <n v="50"/>
    <x v="0"/>
    <x v="2"/>
    <s v=" "/>
    <s v="ALON SKILL"/>
    <n v="6"/>
    <n v="6"/>
    <n v="0"/>
    <s v="Alon Towers"/>
  </r>
  <r>
    <d v="2018-11-19T00:00:00"/>
    <s v="שני"/>
    <d v="1899-12-30T19:00:00"/>
    <d v="1899-12-30T19:50:00"/>
    <n v="0.83299999999999996"/>
    <n v="50"/>
    <x v="0"/>
    <x v="8"/>
    <s v=" "/>
    <s v="יוגה"/>
    <n v="10"/>
    <n v="10"/>
    <n v="3"/>
    <s v="Alon Towers"/>
  </r>
  <r>
    <d v="2018-11-20T00:00:00"/>
    <s v="שלישי"/>
    <d v="1899-12-30T07:30:00"/>
    <d v="1899-12-30T08:20:00"/>
    <n v="0.83299999999999996"/>
    <n v="50"/>
    <x v="0"/>
    <x v="7"/>
    <s v=" "/>
    <s v="HIIT פונקציונלי"/>
    <n v="13"/>
    <n v="13"/>
    <n v="0"/>
    <s v="Alon Towers"/>
  </r>
  <r>
    <d v="2018-11-20T00:00:00"/>
    <s v="שלישי"/>
    <d v="1899-12-30T18:00:00"/>
    <d v="1899-12-30T18:50:00"/>
    <n v="0.83299999999999996"/>
    <n v="50"/>
    <x v="0"/>
    <x v="0"/>
    <s v=" "/>
    <s v="HIIT TRX"/>
    <n v="12"/>
    <n v="12"/>
    <n v="1"/>
    <s v="Alon Towers"/>
  </r>
  <r>
    <d v="2018-11-20T00:00:00"/>
    <s v="שלישי"/>
    <d v="1899-12-30T19:00:00"/>
    <d v="1899-12-30T19:50:00"/>
    <n v="0.83299999999999996"/>
    <n v="50"/>
    <x v="0"/>
    <x v="2"/>
    <s v=" "/>
    <s v="פילאטיס"/>
    <n v="6"/>
    <n v="5"/>
    <n v="0"/>
    <s v="Alon Towers"/>
  </r>
  <r>
    <d v="2018-11-20T00:00:00"/>
    <s v="שלישי"/>
    <d v="1899-12-30T08:30:00"/>
    <d v="1899-12-30T09:20:00"/>
    <n v="0.83299999999999996"/>
    <n v="50"/>
    <x v="0"/>
    <x v="8"/>
    <s v=" "/>
    <s v="יוגה"/>
    <n v="10"/>
    <n v="7"/>
    <n v="1"/>
    <s v="Alon Towers"/>
  </r>
  <r>
    <d v="2018-11-21T00:00:00"/>
    <s v="רביעי"/>
    <d v="1899-12-30T18:30:00"/>
    <d v="1899-12-30T19:20:00"/>
    <n v="0.83299999999999996"/>
    <n v="50"/>
    <x v="0"/>
    <x v="2"/>
    <s v=" "/>
    <s v="ALON SKILL"/>
    <n v="13"/>
    <n v="12"/>
    <n v="0"/>
    <s v="Alon Towers"/>
  </r>
  <r>
    <d v="2018-11-21T00:00:00"/>
    <s v="רביעי"/>
    <d v="1899-12-30T07:30:00"/>
    <d v="1899-12-30T08:20:00"/>
    <n v="0.83299999999999996"/>
    <n v="50"/>
    <x v="0"/>
    <x v="6"/>
    <s v=" "/>
    <s v="יוגה"/>
    <n v="10"/>
    <n v="6"/>
    <n v="1"/>
    <s v="Alon Towers"/>
  </r>
  <r>
    <d v="2018-11-21T00:00:00"/>
    <s v="רביעי"/>
    <d v="1899-12-30T17:30:00"/>
    <d v="1899-12-30T18:20:00"/>
    <n v="0.83299999999999996"/>
    <n v="50"/>
    <x v="0"/>
    <x v="2"/>
    <s v=" "/>
    <s v="פילאטיס"/>
    <n v="10"/>
    <n v="10"/>
    <n v="1"/>
    <s v="Alon Towers"/>
  </r>
  <r>
    <d v="2018-11-22T00:00:00"/>
    <s v="חמישי"/>
    <d v="1899-12-30T08:30:00"/>
    <d v="1899-12-30T09:20:00"/>
    <n v="0.83299999999999996"/>
    <n v="50"/>
    <x v="0"/>
    <x v="0"/>
    <s v=" "/>
    <s v="HIIT פונקציונלי"/>
    <n v="15"/>
    <n v="10"/>
    <n v="0"/>
    <s v="Alon Towers"/>
  </r>
  <r>
    <d v="2018-11-22T00:00:00"/>
    <s v="חמישי"/>
    <d v="1899-12-30T17:30:00"/>
    <d v="1899-12-30T18:20:00"/>
    <n v="0.83299999999999996"/>
    <n v="50"/>
    <x v="0"/>
    <x v="6"/>
    <s v=" "/>
    <s v="יוגה"/>
    <n v="10"/>
    <n v="7"/>
    <n v="11"/>
    <s v="Alon Towers"/>
  </r>
  <r>
    <d v="2018-11-22T00:00:00"/>
    <s v="חמישי"/>
    <d v="1899-12-30T18:30:00"/>
    <d v="1899-12-30T19:20:00"/>
    <n v="0.83299999999999996"/>
    <n v="50"/>
    <x v="0"/>
    <x v="3"/>
    <s v=" "/>
    <s v="OUTDOOR FUNCTIONAL"/>
    <n v="15"/>
    <n v="10"/>
    <n v="0"/>
    <s v="Alon Towers"/>
  </r>
  <r>
    <d v="2018-11-25T00:00:00"/>
    <s v="ראשון"/>
    <d v="1899-12-30T07:30:00"/>
    <d v="1899-12-30T08:20:00"/>
    <n v="0.83299999999999996"/>
    <n v="50"/>
    <x v="1"/>
    <x v="4"/>
    <s v=" "/>
    <s v="HIIT TRX"/>
    <n v="0"/>
    <n v="0"/>
    <n v="0"/>
    <s v="Alon Towers"/>
  </r>
  <r>
    <d v="2018-11-25T00:00:00"/>
    <s v="ראשון"/>
    <d v="1899-12-30T17:30:00"/>
    <d v="1899-12-30T18:20:00"/>
    <n v="0.83299999999999996"/>
    <n v="50"/>
    <x v="0"/>
    <x v="2"/>
    <s v=" "/>
    <s v="פילאטיס"/>
    <n v="8"/>
    <n v="8"/>
    <n v="0"/>
    <s v="Alon Towers"/>
  </r>
  <r>
    <d v="2018-11-25T00:00:00"/>
    <s v="ראשון"/>
    <d v="1899-12-30T08:30:00"/>
    <d v="1899-12-30T09:20:00"/>
    <n v="0.83299999999999996"/>
    <n v="50"/>
    <x v="0"/>
    <x v="8"/>
    <s v=" "/>
    <s v="יוגה"/>
    <n v="9"/>
    <n v="9"/>
    <n v="2"/>
    <s v="Alon Towers"/>
  </r>
  <r>
    <d v="2018-11-25T00:00:00"/>
    <s v="ראשון"/>
    <d v="1899-12-30T18:30:00"/>
    <d v="1899-12-30T19:20:00"/>
    <n v="0.83299999999999996"/>
    <n v="50"/>
    <x v="0"/>
    <x v="3"/>
    <s v=" "/>
    <s v="OUTDOOR FUNCTIONAL"/>
    <n v="15"/>
    <n v="12"/>
    <n v="0"/>
    <s v="Alon Towers"/>
  </r>
  <r>
    <d v="2018-11-26T00:00:00"/>
    <s v="שני"/>
    <d v="1899-12-30T07:30:00"/>
    <d v="1899-12-30T08:20:00"/>
    <n v="0.83299999999999996"/>
    <n v="50"/>
    <x v="0"/>
    <x v="2"/>
    <s v=" "/>
    <s v="פילאטיס"/>
    <n v="10"/>
    <n v="7"/>
    <n v="2"/>
    <s v="Alon Towers"/>
  </r>
  <r>
    <d v="2018-11-26T00:00:00"/>
    <s v="שני"/>
    <d v="1899-12-30T18:00:00"/>
    <d v="1899-12-30T18:50:00"/>
    <n v="0.83299999999999996"/>
    <n v="50"/>
    <x v="0"/>
    <x v="5"/>
    <s v=" "/>
    <s v="HIIT פונקציונלי"/>
    <n v="11"/>
    <n v="11"/>
    <n v="0"/>
    <s v="Alon Towers"/>
  </r>
  <r>
    <d v="2018-11-26T00:00:00"/>
    <s v="שני"/>
    <d v="1899-12-30T19:00:00"/>
    <d v="1899-12-30T19:50:00"/>
    <n v="0.83299999999999996"/>
    <n v="50"/>
    <x v="0"/>
    <x v="8"/>
    <s v=" "/>
    <s v="יוגה"/>
    <n v="10"/>
    <n v="9"/>
    <n v="7"/>
    <s v="Alon Towers"/>
  </r>
  <r>
    <d v="2018-11-26T00:00:00"/>
    <s v="שני"/>
    <d v="1899-12-30T08:30:00"/>
    <d v="1899-12-30T09:20:00"/>
    <n v="0.83299999999999996"/>
    <n v="50"/>
    <x v="0"/>
    <x v="2"/>
    <s v=" "/>
    <s v="ALON SKILL"/>
    <n v="9"/>
    <n v="8"/>
    <n v="0"/>
    <s v="Alon Towers"/>
  </r>
  <r>
    <d v="2018-11-27T00:00:00"/>
    <s v="שלישי"/>
    <d v="1899-12-30T07:30:00"/>
    <d v="1899-12-30T08:20:00"/>
    <n v="0.83299999999999996"/>
    <n v="50"/>
    <x v="0"/>
    <x v="7"/>
    <s v=" "/>
    <s v="HIIT פונקציונלי"/>
    <n v="9"/>
    <n v="9"/>
    <n v="0"/>
    <s v="Alon Towers"/>
  </r>
  <r>
    <d v="2018-11-27T00:00:00"/>
    <s v="שלישי"/>
    <d v="1899-12-30T18:00:00"/>
    <d v="1899-12-30T18:50:00"/>
    <n v="0.83299999999999996"/>
    <n v="50"/>
    <x v="0"/>
    <x v="0"/>
    <s v=" "/>
    <s v="HIIT TRX"/>
    <n v="10"/>
    <n v="7"/>
    <n v="0"/>
    <s v="Alon Towers"/>
  </r>
  <r>
    <d v="2018-11-27T00:00:00"/>
    <s v="שלישי"/>
    <d v="1899-12-30T08:30:00"/>
    <d v="1899-12-30T09:20:00"/>
    <n v="0.83299999999999996"/>
    <n v="50"/>
    <x v="0"/>
    <x v="6"/>
    <s v=" "/>
    <s v="יוגה"/>
    <n v="9"/>
    <n v="9"/>
    <n v="6"/>
    <s v="Alon Towers"/>
  </r>
  <r>
    <d v="2018-11-28T00:00:00"/>
    <s v="רביעי"/>
    <d v="1899-12-30T18:30:00"/>
    <d v="1899-12-30T19:20:00"/>
    <n v="0.83299999999999996"/>
    <n v="50"/>
    <x v="0"/>
    <x v="2"/>
    <s v=" "/>
    <s v="ALON SKILL"/>
    <n v="15"/>
    <n v="13"/>
    <n v="3"/>
    <s v="Alon Towers"/>
  </r>
  <r>
    <d v="2018-11-28T00:00:00"/>
    <s v="רביעי"/>
    <d v="1899-12-30T07:30:00"/>
    <d v="1899-12-30T08:20:00"/>
    <n v="0.83299999999999996"/>
    <n v="50"/>
    <x v="0"/>
    <x v="6"/>
    <s v=" "/>
    <s v="יוגה"/>
    <n v="10"/>
    <n v="8"/>
    <n v="2"/>
    <s v="Alon Towers"/>
  </r>
  <r>
    <d v="2018-11-28T00:00:00"/>
    <s v="רביעי"/>
    <d v="1899-12-30T17:30:00"/>
    <d v="1899-12-30T18:20:00"/>
    <n v="0.83299999999999996"/>
    <n v="50"/>
    <x v="0"/>
    <x v="2"/>
    <s v=" "/>
    <s v="פילאטיס"/>
    <n v="10"/>
    <n v="10"/>
    <n v="3"/>
    <s v="Alon Towers"/>
  </r>
  <r>
    <d v="2018-11-29T00:00:00"/>
    <s v="חמישי"/>
    <d v="1899-12-30T08:30:00"/>
    <d v="1899-12-30T09:20:00"/>
    <n v="0.83299999999999996"/>
    <n v="50"/>
    <x v="0"/>
    <x v="0"/>
    <s v=" "/>
    <s v="HIIT פונקציונלי"/>
    <n v="15"/>
    <n v="11"/>
    <n v="0"/>
    <s v="Alon Towers"/>
  </r>
  <r>
    <d v="2018-11-29T00:00:00"/>
    <s v="חמישי"/>
    <d v="1899-12-30T17:30:00"/>
    <d v="1899-12-30T18:20:00"/>
    <n v="0.83299999999999996"/>
    <n v="50"/>
    <x v="0"/>
    <x v="6"/>
    <s v=" "/>
    <s v="יוגה"/>
    <n v="10"/>
    <n v="9"/>
    <n v="15"/>
    <s v="Alon Towers"/>
  </r>
  <r>
    <d v="2018-11-29T00:00:00"/>
    <s v="חמישי"/>
    <d v="1899-12-30T18:30:00"/>
    <d v="1899-12-30T19:20:00"/>
    <n v="0.83299999999999996"/>
    <n v="50"/>
    <x v="0"/>
    <x v="3"/>
    <s v=" "/>
    <s v="HIIT TRX"/>
    <n v="12"/>
    <n v="8"/>
    <n v="4"/>
    <s v="Alon Towers"/>
  </r>
  <r>
    <d v="2018-11-29T00:00:00"/>
    <s v="חמישי"/>
    <d v="1899-12-30T07:30:00"/>
    <d v="1899-12-30T08:20:00"/>
    <n v="0.83299999999999996"/>
    <n v="50"/>
    <x v="0"/>
    <x v="0"/>
    <s v=" "/>
    <s v="core ומתיחות"/>
    <n v="10"/>
    <n v="6"/>
    <n v="0"/>
    <s v="Alon Tower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8">
  <r>
    <d v="2019-01-01T00:00:00"/>
    <s v="שלישי"/>
    <d v="1899-12-30T07:30:00"/>
    <d v="1899-12-30T08:20:00"/>
    <n v="0.83299999999999996"/>
    <n v="50"/>
    <s v="מתקיים"/>
    <x v="0"/>
    <x v="0"/>
    <s v="HIIT פונקציונלי"/>
    <n v="13"/>
    <n v="86.67"/>
    <n v="12"/>
    <n v="0"/>
    <s v="Alon Towers"/>
  </r>
  <r>
    <d v="2019-01-01T00:00:00"/>
    <s v="שלישי"/>
    <d v="1899-12-30T18:30:00"/>
    <d v="1899-12-30T19:20:00"/>
    <n v="0.83299999999999996"/>
    <n v="50"/>
    <s v="מתקיים"/>
    <x v="1"/>
    <x v="0"/>
    <s v="core ומתיחות"/>
    <n v="12"/>
    <n v="100"/>
    <n v="8"/>
    <n v="1"/>
    <s v="Alon Towers"/>
  </r>
  <r>
    <d v="2019-01-01T00:00:00"/>
    <s v="שלישי"/>
    <d v="1899-12-30T08:30:00"/>
    <d v="1899-12-30T09:20:00"/>
    <n v="0.83299999999999996"/>
    <n v="50"/>
    <s v="מתקיים"/>
    <x v="2"/>
    <x v="0"/>
    <s v="יוגה"/>
    <n v="12"/>
    <n v="100"/>
    <n v="10"/>
    <n v="5"/>
    <s v="Alon Towers"/>
  </r>
  <r>
    <d v="2019-01-01T00:00:00"/>
    <s v="שלישי"/>
    <d v="1899-12-30T17:30:00"/>
    <d v="1899-12-30T18:20:00"/>
    <n v="0.83299999999999996"/>
    <n v="50"/>
    <s v="מתקיים"/>
    <x v="3"/>
    <x v="0"/>
    <s v="Kickbox"/>
    <n v="14"/>
    <n v="93.33"/>
    <n v="11"/>
    <n v="0"/>
    <s v="Alon Towers"/>
  </r>
  <r>
    <d v="2019-01-02T00:00:00"/>
    <s v="רביעי"/>
    <d v="1899-12-30T18:30:00"/>
    <d v="1899-12-30T19:20:00"/>
    <n v="0.83299999999999996"/>
    <n v="50"/>
    <s v="מתקיים"/>
    <x v="4"/>
    <x v="0"/>
    <s v="Alon Skill"/>
    <n v="15"/>
    <n v="100"/>
    <n v="11"/>
    <n v="10"/>
    <s v="Alon Towers"/>
  </r>
  <r>
    <d v="2019-01-02T00:00:00"/>
    <s v="רביעי"/>
    <d v="1899-12-30T07:30:00"/>
    <d v="1899-12-30T08:20:00"/>
    <n v="0.83299999999999996"/>
    <n v="50"/>
    <s v="מתקיים"/>
    <x v="5"/>
    <x v="0"/>
    <s v="יוגה"/>
    <n v="12"/>
    <n v="100"/>
    <n v="6"/>
    <n v="0"/>
    <s v="Alon Towers"/>
  </r>
  <r>
    <d v="2019-01-02T00:00:00"/>
    <s v="רביעי"/>
    <d v="1899-12-30T17:30:00"/>
    <d v="1899-12-30T18:20:00"/>
    <n v="0.83299999999999996"/>
    <n v="50"/>
    <s v="מתקיים"/>
    <x v="4"/>
    <x v="0"/>
    <s v="פילאטיס"/>
    <n v="10"/>
    <n v="100"/>
    <n v="8"/>
    <n v="11"/>
    <s v="Alon Towers"/>
  </r>
  <r>
    <d v="2019-01-03T00:00:00"/>
    <s v="חמישי"/>
    <d v="1899-12-30T08:30:00"/>
    <d v="1899-12-30T09:20:00"/>
    <n v="0.83299999999999996"/>
    <n v="50"/>
    <s v="מתקיים"/>
    <x v="6"/>
    <x v="0"/>
    <s v="פילאטיס"/>
    <n v="10"/>
    <n v="100"/>
    <n v="8"/>
    <n v="2"/>
    <s v="Alon Towers"/>
  </r>
  <r>
    <d v="2019-01-03T00:00:00"/>
    <s v="חמישי"/>
    <d v="1899-12-30T17:30:00"/>
    <d v="1899-12-30T18:20:00"/>
    <n v="0.83299999999999996"/>
    <n v="50"/>
    <s v="מתקיים"/>
    <x v="2"/>
    <x v="0"/>
    <s v="Power Yoga"/>
    <n v="12"/>
    <n v="100"/>
    <n v="9"/>
    <n v="5"/>
    <s v="Alon Towers"/>
  </r>
  <r>
    <d v="2019-01-03T00:00:00"/>
    <s v="חמישי"/>
    <d v="1899-12-30T18:30:00"/>
    <d v="1899-12-30T19:20:00"/>
    <n v="0.83299999999999996"/>
    <n v="50"/>
    <s v="מתקיים"/>
    <x v="7"/>
    <x v="0"/>
    <s v="Ouotdoor Functional"/>
    <n v="20"/>
    <n v="100"/>
    <n v="18"/>
    <n v="0"/>
    <s v="Alon Towers"/>
  </r>
  <r>
    <d v="2019-01-03T00:00:00"/>
    <s v="חמישי"/>
    <d v="1899-12-30T07:30:00"/>
    <d v="1899-12-30T08:20:00"/>
    <n v="0.83299999999999996"/>
    <n v="50"/>
    <s v="מתקיים"/>
    <x v="1"/>
    <x v="0"/>
    <s v="HIIT TRX"/>
    <n v="11"/>
    <n v="78.569999999999993"/>
    <n v="9"/>
    <n v="0"/>
    <s v="Alon Towers"/>
  </r>
  <r>
    <d v="2019-01-06T00:00:00"/>
    <s v="ראשון"/>
    <d v="1899-12-30T08:30:00"/>
    <d v="1899-12-30T09:20:00"/>
    <n v="0.83299999999999996"/>
    <n v="50"/>
    <s v="מתקיים"/>
    <x v="2"/>
    <x v="0"/>
    <s v="יוגה"/>
    <n v="12"/>
    <n v="100"/>
    <n v="12"/>
    <n v="5"/>
    <s v="Alon Towers"/>
  </r>
  <r>
    <d v="2019-01-06T00:00:00"/>
    <s v="ראשון"/>
    <d v="1899-12-30T19:00:00"/>
    <d v="1899-12-30T19:50:00"/>
    <n v="0.83299999999999996"/>
    <n v="50"/>
    <s v="מתקיים"/>
    <x v="7"/>
    <x v="0"/>
    <s v="Ouotdoor Functional"/>
    <n v="15"/>
    <n v="100"/>
    <n v="15"/>
    <n v="0"/>
    <s v="Alon Towers"/>
  </r>
  <r>
    <d v="2019-01-06T00:00:00"/>
    <s v="ראשון"/>
    <d v="1899-12-30T18:00:00"/>
    <d v="1899-12-30T18:50:00"/>
    <n v="0.83299999999999996"/>
    <n v="50"/>
    <s v="מתקיים"/>
    <x v="1"/>
    <x v="0"/>
    <s v="core ומתיחות"/>
    <n v="12"/>
    <n v="100"/>
    <n v="10"/>
    <n v="4"/>
    <s v="Alon Towers"/>
  </r>
  <r>
    <d v="2019-01-07T00:00:00"/>
    <s v="שני"/>
    <d v="1899-12-30T07:30:00"/>
    <d v="1899-12-30T08:20:00"/>
    <n v="0.83299999999999996"/>
    <n v="50"/>
    <s v="מתקיים"/>
    <x v="4"/>
    <x v="0"/>
    <s v="פילאטיס"/>
    <n v="12"/>
    <n v="100"/>
    <n v="12"/>
    <n v="5"/>
    <s v="Alon Towers"/>
  </r>
  <r>
    <d v="2019-01-07T00:00:00"/>
    <s v="שני"/>
    <d v="1899-12-30T18:00:00"/>
    <d v="1899-12-30T18:50:00"/>
    <n v="0.83299999999999996"/>
    <n v="50"/>
    <s v="מתקיים"/>
    <x v="8"/>
    <x v="0"/>
    <s v="HIIT פונקציונלי"/>
    <n v="15"/>
    <n v="100"/>
    <n v="13"/>
    <n v="3"/>
    <s v="Alon Towers"/>
  </r>
  <r>
    <d v="2019-01-07T00:00:00"/>
    <s v="שני"/>
    <d v="1899-12-30T17:00:00"/>
    <d v="1899-12-30T17:50:00"/>
    <n v="0.83299999999999996"/>
    <n v="50"/>
    <s v="מתקיים"/>
    <x v="2"/>
    <x v="0"/>
    <s v="יוגה"/>
    <n v="12"/>
    <n v="100"/>
    <n v="10"/>
    <n v="5"/>
    <s v="Alon Towers"/>
  </r>
  <r>
    <d v="2019-01-07T00:00:00"/>
    <s v="שני"/>
    <d v="1899-12-30T08:30:00"/>
    <d v="1899-12-30T09:20:00"/>
    <n v="0.83299999999999996"/>
    <n v="50"/>
    <s v="מתקיים"/>
    <x v="4"/>
    <x v="0"/>
    <s v="Alon Skill"/>
    <n v="10"/>
    <n v="66.67"/>
    <n v="7"/>
    <n v="0"/>
    <s v="Alon Towers"/>
  </r>
  <r>
    <d v="2019-01-08T00:00:00"/>
    <s v="שלישי"/>
    <d v="1899-12-30T07:30:00"/>
    <d v="1899-12-30T08:20:00"/>
    <n v="0.83299999999999996"/>
    <n v="50"/>
    <s v="מתקיים"/>
    <x v="0"/>
    <x v="0"/>
    <s v="HIIT פונקציונלי"/>
    <n v="12"/>
    <n v="80"/>
    <n v="11"/>
    <n v="0"/>
    <s v="Alon Towers"/>
  </r>
  <r>
    <d v="2019-01-08T00:00:00"/>
    <s v="שלישי"/>
    <d v="1899-12-30T18:45:00"/>
    <d v="1899-12-30T19:35:00"/>
    <n v="0.83299999999999996"/>
    <n v="50"/>
    <s v="מתקיים"/>
    <x v="1"/>
    <x v="0"/>
    <s v="core ומתיחות"/>
    <n v="12"/>
    <n v="100"/>
    <n v="9"/>
    <n v="4"/>
    <s v="Alon Towers"/>
  </r>
  <r>
    <d v="2019-01-08T00:00:00"/>
    <s v="שלישי"/>
    <d v="1899-12-30T08:30:00"/>
    <d v="1899-12-30T09:20:00"/>
    <n v="0.83299999999999996"/>
    <n v="50"/>
    <s v="מתקיים"/>
    <x v="2"/>
    <x v="0"/>
    <s v="יוגה"/>
    <n v="11"/>
    <n v="91.67"/>
    <n v="10"/>
    <n v="0"/>
    <s v="Alon Towers"/>
  </r>
  <r>
    <d v="2019-01-08T00:00:00"/>
    <s v="שלישי"/>
    <d v="1899-12-30T17:45:00"/>
    <d v="1899-12-30T18:35:00"/>
    <n v="0.83299999999999996"/>
    <n v="50"/>
    <s v="מתקיים"/>
    <x v="3"/>
    <x v="0"/>
    <s v="Kickbox"/>
    <n v="13"/>
    <n v="86.67"/>
    <n v="8"/>
    <n v="0"/>
    <s v="Alon Towers"/>
  </r>
  <r>
    <d v="2019-01-09T00:00:00"/>
    <s v="רביעי"/>
    <d v="1899-12-30T18:30:00"/>
    <d v="1899-12-30T19:20:00"/>
    <n v="0.83299999999999996"/>
    <n v="50"/>
    <s v="מתקיים"/>
    <x v="1"/>
    <x v="0"/>
    <s v="Alon Skill"/>
    <n v="15"/>
    <n v="100"/>
    <n v="12"/>
    <n v="2"/>
    <s v="Alon Towers"/>
  </r>
  <r>
    <d v="2019-01-09T00:00:00"/>
    <s v="רביעי"/>
    <d v="1899-12-30T07:30:00"/>
    <d v="1899-12-30T08:20:00"/>
    <n v="0.83299999999999996"/>
    <n v="50"/>
    <s v="מתקיים"/>
    <x v="9"/>
    <x v="0"/>
    <s v="יוגה"/>
    <n v="12"/>
    <n v="100"/>
    <n v="9"/>
    <n v="1"/>
    <s v="Alon Towers"/>
  </r>
  <r>
    <d v="2019-01-09T00:00:00"/>
    <s v="רביעי"/>
    <d v="1899-12-30T17:30:00"/>
    <d v="1899-12-30T18:20:00"/>
    <n v="0.83299999999999996"/>
    <n v="50"/>
    <s v="מתקיים"/>
    <x v="1"/>
    <x v="0"/>
    <s v="core ומתיחות"/>
    <n v="12"/>
    <n v="100"/>
    <n v="10"/>
    <n v="5"/>
    <s v="Alon Towers"/>
  </r>
  <r>
    <d v="2019-01-09T00:00:00"/>
    <s v="רביעי"/>
    <d v="1899-12-30T08:30:00"/>
    <d v="1899-12-30T09:20:00"/>
    <n v="0.83299999999999996"/>
    <n v="50"/>
    <s v="מתקיים"/>
    <x v="10"/>
    <x v="0"/>
    <s v="HIIT TRX"/>
    <n v="5"/>
    <n v="35.71"/>
    <n v="3"/>
    <n v="0"/>
    <s v="Alon Towers"/>
  </r>
  <r>
    <d v="2019-01-10T00:00:00"/>
    <s v="חמישי"/>
    <d v="1899-12-30T17:30:00"/>
    <d v="1899-12-30T18:20:00"/>
    <n v="0.83299999999999996"/>
    <n v="50"/>
    <s v="מתקיים"/>
    <x v="2"/>
    <x v="0"/>
    <s v="Power Yoga"/>
    <n v="12"/>
    <n v="100"/>
    <n v="11"/>
    <n v="7"/>
    <s v="Alon Towers"/>
  </r>
  <r>
    <d v="2019-01-10T00:00:00"/>
    <s v="חמישי"/>
    <d v="1899-12-30T18:30:00"/>
    <d v="1899-12-30T19:20:00"/>
    <n v="0.83299999999999996"/>
    <n v="50"/>
    <s v="מתקיים"/>
    <x v="7"/>
    <x v="0"/>
    <s v="Alon Cross"/>
    <n v="15"/>
    <n v="100"/>
    <n v="12"/>
    <n v="3"/>
    <s v="Alon Towers"/>
  </r>
  <r>
    <d v="2019-01-10T00:00:00"/>
    <s v="חמישי"/>
    <d v="1899-12-30T07:30:00"/>
    <d v="1899-12-30T08:20:00"/>
    <n v="0.83299999999999996"/>
    <n v="50"/>
    <s v="מתקיים"/>
    <x v="1"/>
    <x v="0"/>
    <s v="Ouotdoor Functional"/>
    <n v="8"/>
    <n v="53.33"/>
    <n v="6"/>
    <n v="0"/>
    <s v="Alon Towers"/>
  </r>
  <r>
    <d v="2019-01-10T00:00:00"/>
    <s v="חמישי"/>
    <d v="1899-12-30T08:30:00"/>
    <d v="1899-12-30T09:20:00"/>
    <n v="0.83299999999999996"/>
    <n v="50"/>
    <s v="מתקיים"/>
    <x v="6"/>
    <x v="0"/>
    <s v="פילאטיס"/>
    <n v="11"/>
    <n v="91.67"/>
    <n v="7"/>
    <n v="0"/>
    <s v="Alon Towers"/>
  </r>
  <r>
    <d v="2019-01-13T00:00:00"/>
    <s v="ראשון"/>
    <d v="1899-12-30T08:30:00"/>
    <d v="1899-12-30T09:20:00"/>
    <n v="0.83299999999999996"/>
    <n v="50"/>
    <s v="מתקיים"/>
    <x v="2"/>
    <x v="0"/>
    <s v="יוגה"/>
    <n v="12"/>
    <n v="100"/>
    <n v="10"/>
    <n v="2"/>
    <s v="Alon Towers"/>
  </r>
  <r>
    <d v="2019-01-13T00:00:00"/>
    <s v="ראשון"/>
    <d v="1899-12-30T19:00:00"/>
    <d v="1899-12-30T19:50:00"/>
    <n v="0.83299999999999996"/>
    <n v="50"/>
    <s v="מתקיים"/>
    <x v="7"/>
    <x v="0"/>
    <s v="Alon Cross"/>
    <n v="17"/>
    <n v="113.33"/>
    <n v="15"/>
    <n v="4"/>
    <s v="Alon Towers"/>
  </r>
  <r>
    <d v="2019-01-13T00:00:00"/>
    <s v="ראשון"/>
    <d v="1899-12-30T18:00:00"/>
    <d v="1899-12-30T18:50:00"/>
    <n v="0.83299999999999996"/>
    <n v="50"/>
    <s v="מתקיים"/>
    <x v="1"/>
    <x v="0"/>
    <s v="core ומתיחות"/>
    <n v="13"/>
    <n v="108.33"/>
    <n v="12"/>
    <n v="2"/>
    <s v="Alon Towers"/>
  </r>
  <r>
    <d v="2019-01-14T00:00:00"/>
    <s v="שני"/>
    <d v="1899-12-30T07:30:00"/>
    <d v="1899-12-30T08:20:00"/>
    <n v="0.83299999999999996"/>
    <n v="50"/>
    <s v="מתקיים"/>
    <x v="4"/>
    <x v="0"/>
    <s v="פילאטיס"/>
    <n v="13"/>
    <n v="108.33"/>
    <n v="12"/>
    <n v="2"/>
    <s v="Alon Towers"/>
  </r>
  <r>
    <d v="2019-01-14T00:00:00"/>
    <s v="שני"/>
    <d v="1899-12-30T19:00:00"/>
    <d v="1899-12-30T19:50:00"/>
    <n v="0.83299999999999996"/>
    <n v="50"/>
    <s v="מתקיים"/>
    <x v="8"/>
    <x v="0"/>
    <s v="HIIT פונקציונלי"/>
    <n v="15"/>
    <n v="100"/>
    <n v="11"/>
    <n v="2"/>
    <s v="Alon Towers"/>
  </r>
  <r>
    <d v="2019-01-14T00:00:00"/>
    <s v="שני"/>
    <d v="1899-12-30T17:00:00"/>
    <d v="1899-12-30T17:50:00"/>
    <n v="0.83299999999999996"/>
    <n v="50"/>
    <s v="מתקיים"/>
    <x v="8"/>
    <x v="0"/>
    <s v="יוגה"/>
    <n v="12"/>
    <n v="100"/>
    <n v="10"/>
    <n v="4"/>
    <s v="Alon Towers"/>
  </r>
  <r>
    <d v="2019-01-14T00:00:00"/>
    <s v="שני"/>
    <d v="1899-12-30T08:30:00"/>
    <d v="1899-12-30T09:20:00"/>
    <n v="0.83299999999999996"/>
    <n v="50"/>
    <s v="מתקיים"/>
    <x v="4"/>
    <x v="0"/>
    <s v="Alon Skill"/>
    <n v="13"/>
    <n v="86.67"/>
    <n v="11"/>
    <n v="0"/>
    <s v="Alon Towers"/>
  </r>
  <r>
    <d v="2019-01-14T00:00:00"/>
    <s v="שני"/>
    <d v="1899-12-30T18:00:00"/>
    <d v="1899-12-30T18:50:00"/>
    <n v="0.83299999999999996"/>
    <n v="50"/>
    <s v="מתקיים"/>
    <x v="11"/>
    <x v="0"/>
    <s v="Alon Cross"/>
    <n v="16"/>
    <n v="106.67"/>
    <n v="15"/>
    <n v="0"/>
    <s v="Alon Towers"/>
  </r>
  <r>
    <d v="2019-01-15T00:00:00"/>
    <s v="שלישי"/>
    <d v="1899-12-30T07:30:00"/>
    <d v="1899-12-30T08:20:00"/>
    <n v="0.83299999999999996"/>
    <n v="50"/>
    <s v="מתקיים"/>
    <x v="0"/>
    <x v="0"/>
    <s v="HIIT פונקציונלי"/>
    <n v="11"/>
    <n v="73.33"/>
    <n v="9"/>
    <n v="0"/>
    <s v="Alon Towers"/>
  </r>
  <r>
    <d v="2019-01-15T00:00:00"/>
    <s v="שלישי"/>
    <d v="1899-12-30T18:45:00"/>
    <d v="1899-12-30T19:35:00"/>
    <n v="0.83299999999999996"/>
    <n v="50"/>
    <s v="מתקיים"/>
    <x v="1"/>
    <x v="0"/>
    <s v="core ומתיחות"/>
    <n v="13"/>
    <n v="108.33"/>
    <n v="11"/>
    <n v="0"/>
    <s v="Alon Towers"/>
  </r>
  <r>
    <d v="2019-01-15T00:00:00"/>
    <s v="שלישי"/>
    <d v="1899-12-30T08:30:00"/>
    <d v="1899-12-30T09:20:00"/>
    <n v="0.83299999999999996"/>
    <n v="50"/>
    <s v="מתקיים"/>
    <x v="2"/>
    <x v="0"/>
    <s v="Power Yoga"/>
    <n v="12"/>
    <n v="100"/>
    <n v="8"/>
    <n v="7"/>
    <s v="Alon Towers"/>
  </r>
  <r>
    <d v="2019-01-15T00:00:00"/>
    <s v="שלישי"/>
    <d v="1899-12-30T17:45:00"/>
    <d v="1899-12-30T18:35:00"/>
    <n v="0.83299999999999996"/>
    <n v="50"/>
    <s v="מתקיים"/>
    <x v="3"/>
    <x v="0"/>
    <s v="Kickbox"/>
    <n v="15"/>
    <n v="100"/>
    <n v="11"/>
    <n v="1"/>
    <s v="Alon Towers"/>
  </r>
  <r>
    <d v="2019-01-16T00:00:00"/>
    <s v="רביעי"/>
    <d v="1899-12-30T18:30:00"/>
    <d v="1899-12-30T19:20:00"/>
    <n v="0.83299999999999996"/>
    <n v="50"/>
    <s v="מתקיים"/>
    <x v="4"/>
    <x v="0"/>
    <s v="Alon Skill"/>
    <n v="15"/>
    <n v="100"/>
    <n v="15"/>
    <n v="3"/>
    <s v="Alon Towers"/>
  </r>
  <r>
    <d v="2019-01-16T00:00:00"/>
    <s v="רביעי"/>
    <d v="1899-12-30T17:30:00"/>
    <d v="1899-12-30T18:20:00"/>
    <n v="0.83299999999999996"/>
    <n v="50"/>
    <s v="מתקיים"/>
    <x v="4"/>
    <x v="0"/>
    <s v="פילאטיס"/>
    <n v="12"/>
    <n v="100"/>
    <n v="11"/>
    <n v="1"/>
    <s v="Alon Towers"/>
  </r>
  <r>
    <d v="2019-01-16T00:00:00"/>
    <s v="רביעי"/>
    <d v="1899-12-30T08:30:00"/>
    <d v="1899-12-30T09:20:00"/>
    <n v="0.83299999999999996"/>
    <n v="50"/>
    <s v="מתקיים"/>
    <x v="1"/>
    <x v="0"/>
    <s v="HIIT TRX"/>
    <n v="8"/>
    <n v="57.14"/>
    <n v="8"/>
    <n v="0"/>
    <s v="Alon Towers"/>
  </r>
  <r>
    <d v="2019-01-16T00:00:00"/>
    <s v="רביעי"/>
    <d v="1899-12-30T07:30:00"/>
    <d v="1899-12-30T08:20:00"/>
    <n v="0.83299999999999996"/>
    <n v="50"/>
    <s v="מתקיים"/>
    <x v="1"/>
    <x v="0"/>
    <s v="core ומתיחות"/>
    <n v="4"/>
    <n v="33.33"/>
    <n v="0"/>
    <n v="0"/>
    <s v="Alon Towers"/>
  </r>
  <r>
    <d v="2019-01-17T00:00:00"/>
    <s v="חמישי"/>
    <d v="1899-12-30T17:30:00"/>
    <d v="1899-12-30T18:20:00"/>
    <n v="0.83299999999999996"/>
    <n v="50"/>
    <s v="מתקיים"/>
    <x v="2"/>
    <x v="0"/>
    <s v="Power Yoga"/>
    <n v="14"/>
    <n v="116.67"/>
    <n v="11"/>
    <n v="5"/>
    <s v="Alon Towers"/>
  </r>
  <r>
    <d v="2019-01-17T00:00:00"/>
    <s v="חמישי"/>
    <d v="1899-12-30T18:30:00"/>
    <d v="1899-12-30T19:20:00"/>
    <n v="0.83299999999999996"/>
    <n v="50"/>
    <s v="מתקיים"/>
    <x v="7"/>
    <x v="0"/>
    <s v="Alon Cross"/>
    <n v="19"/>
    <n v="126.67"/>
    <n v="16"/>
    <n v="8"/>
    <s v="Alon Towers"/>
  </r>
  <r>
    <d v="2019-01-17T00:00:00"/>
    <s v="חמישי"/>
    <d v="1899-12-30T07:30:00"/>
    <d v="1899-12-30T08:20:00"/>
    <n v="0.83299999999999996"/>
    <n v="50"/>
    <s v="מתקיים"/>
    <x v="1"/>
    <x v="0"/>
    <s v="HIIT פונקציונלי"/>
    <n v="10"/>
    <n v="66.67"/>
    <n v="10"/>
    <n v="0"/>
    <s v="Alon Towers"/>
  </r>
  <r>
    <d v="2019-01-17T00:00:00"/>
    <s v="חמישי"/>
    <d v="1899-12-30T08:30:00"/>
    <d v="1899-12-30T09:20:00"/>
    <n v="0.83299999999999996"/>
    <n v="50"/>
    <s v="מתקיים"/>
    <x v="6"/>
    <x v="0"/>
    <s v="פילאטיס"/>
    <n v="14"/>
    <n v="116.67"/>
    <n v="9"/>
    <n v="2"/>
    <s v="Alon Towers"/>
  </r>
  <r>
    <d v="2019-01-20T00:00:00"/>
    <s v="ראשון"/>
    <d v="1899-12-30T08:30:00"/>
    <d v="1899-12-30T09:20:00"/>
    <n v="0.83299999999999996"/>
    <n v="50"/>
    <s v="מתקיים"/>
    <x v="2"/>
    <x v="0"/>
    <s v="יוגה"/>
    <n v="12"/>
    <n v="100"/>
    <n v="10"/>
    <n v="3"/>
    <s v="Alon Towers"/>
  </r>
  <r>
    <d v="2019-01-20T00:00:00"/>
    <s v="ראשון"/>
    <d v="1899-12-30T19:00:00"/>
    <d v="1899-12-30T19:50:00"/>
    <n v="0.83299999999999996"/>
    <n v="50"/>
    <s v="מתקיים"/>
    <x v="7"/>
    <x v="0"/>
    <s v="Alon Cross"/>
    <n v="18"/>
    <n v="120"/>
    <n v="17"/>
    <n v="5"/>
    <s v="Alon Towers"/>
  </r>
  <r>
    <d v="2019-01-20T00:00:00"/>
    <s v="ראשון"/>
    <d v="1899-12-30T18:00:00"/>
    <d v="1899-12-30T18:50:00"/>
    <n v="0.83299999999999996"/>
    <n v="50"/>
    <s v="מתקיים"/>
    <x v="1"/>
    <x v="0"/>
    <s v="core ומתיחות"/>
    <n v="13"/>
    <n v="108.33"/>
    <n v="10"/>
    <n v="4"/>
    <s v="Alon Towers"/>
  </r>
  <r>
    <d v="2019-01-21T00:00:00"/>
    <s v="שני"/>
    <d v="1899-12-30T07:30:00"/>
    <d v="1899-12-30T08:20:00"/>
    <n v="0.83299999999999996"/>
    <n v="50"/>
    <s v="מתקיים"/>
    <x v="4"/>
    <x v="0"/>
    <s v="פילאטיס"/>
    <n v="13"/>
    <n v="108.33"/>
    <n v="12"/>
    <n v="3"/>
    <s v="Alon Towers"/>
  </r>
  <r>
    <d v="2019-01-21T00:00:00"/>
    <s v="שני"/>
    <d v="1899-12-30T18:00:00"/>
    <d v="1899-12-30T18:50:00"/>
    <n v="0.83299999999999996"/>
    <n v="50"/>
    <s v="מתקיים"/>
    <x v="8"/>
    <x v="0"/>
    <s v="HIIT פונקציונלי"/>
    <n v="15"/>
    <n v="100"/>
    <n v="12"/>
    <n v="8"/>
    <s v="Alon Towers"/>
  </r>
  <r>
    <d v="2019-01-21T00:00:00"/>
    <s v="שני"/>
    <d v="1899-12-30T17:00:00"/>
    <d v="1899-12-30T17:50:00"/>
    <n v="0.83299999999999996"/>
    <n v="50"/>
    <s v="מתקיים"/>
    <x v="2"/>
    <x v="0"/>
    <s v="יוגה"/>
    <n v="13"/>
    <n v="108.33"/>
    <n v="10"/>
    <n v="9"/>
    <s v="Alon Towers"/>
  </r>
  <r>
    <d v="2019-01-21T00:00:00"/>
    <s v="שני"/>
    <d v="1899-12-30T08:30:00"/>
    <d v="1899-12-30T09:20:00"/>
    <n v="0.83299999999999996"/>
    <n v="50"/>
    <s v="מתקיים"/>
    <x v="4"/>
    <x v="0"/>
    <s v="Alon Skill"/>
    <n v="14"/>
    <n v="93.33"/>
    <n v="14"/>
    <n v="0"/>
    <s v="Alon Towers"/>
  </r>
  <r>
    <d v="2019-01-22T00:00:00"/>
    <s v="שלישי"/>
    <d v="1899-12-30T07:30:00"/>
    <d v="1899-12-30T08:20:00"/>
    <n v="0.83299999999999996"/>
    <n v="50"/>
    <s v="מתקיים"/>
    <x v="0"/>
    <x v="0"/>
    <s v="HIIT פונקציונלי"/>
    <n v="15"/>
    <n v="100"/>
    <n v="15"/>
    <n v="0"/>
    <s v="Alon Towers"/>
  </r>
  <r>
    <d v="2019-01-22T00:00:00"/>
    <s v="שלישי"/>
    <d v="1899-12-30T18:45:00"/>
    <d v="1899-12-30T19:35:00"/>
    <n v="0.83299999999999996"/>
    <n v="50"/>
    <s v="מתקיים"/>
    <x v="1"/>
    <x v="0"/>
    <s v="core ומתיחות"/>
    <n v="13"/>
    <n v="108.33"/>
    <n v="11"/>
    <n v="4"/>
    <s v="Alon Towers"/>
  </r>
  <r>
    <d v="2019-01-22T00:00:00"/>
    <s v="שלישי"/>
    <d v="1899-12-30T08:30:00"/>
    <d v="1899-12-30T09:20:00"/>
    <n v="0.83299999999999996"/>
    <n v="50"/>
    <s v="מתקיים"/>
    <x v="2"/>
    <x v="0"/>
    <s v="Power Yoga"/>
    <n v="12"/>
    <n v="100"/>
    <n v="10"/>
    <n v="4"/>
    <s v="Alon Towers"/>
  </r>
  <r>
    <d v="2019-01-22T00:00:00"/>
    <s v="שלישי"/>
    <d v="1899-12-30T17:45:00"/>
    <d v="1899-12-30T18:35:00"/>
    <n v="0.83299999999999996"/>
    <n v="50"/>
    <s v="מתקיים"/>
    <x v="3"/>
    <x v="0"/>
    <s v="Kickbox"/>
    <n v="11"/>
    <n v="73.33"/>
    <n v="9"/>
    <n v="0"/>
    <s v="Alon Towers"/>
  </r>
  <r>
    <d v="2019-01-23T00:00:00"/>
    <s v="רביעי"/>
    <d v="1899-12-30T18:30:00"/>
    <d v="1899-12-30T19:20:00"/>
    <n v="0.83299999999999996"/>
    <n v="50"/>
    <s v="מתקיים"/>
    <x v="4"/>
    <x v="0"/>
    <s v="Alon Skill"/>
    <n v="15"/>
    <n v="100"/>
    <n v="12"/>
    <n v="3"/>
    <s v="Alon Towers"/>
  </r>
  <r>
    <d v="2019-01-23T00:00:00"/>
    <s v="רביעי"/>
    <d v="1899-12-30T17:30:00"/>
    <d v="1899-12-30T18:20:00"/>
    <n v="0.83299999999999996"/>
    <n v="50"/>
    <s v="מתקיים"/>
    <x v="4"/>
    <x v="0"/>
    <s v="פילאטיס"/>
    <n v="12"/>
    <n v="100"/>
    <n v="11"/>
    <n v="9"/>
    <s v="Alon Towers"/>
  </r>
  <r>
    <d v="2019-01-23T00:00:00"/>
    <s v="רביעי"/>
    <d v="1899-12-30T08:30:00"/>
    <d v="1899-12-30T09:20:00"/>
    <n v="0.83299999999999996"/>
    <n v="50"/>
    <s v="מתקיים"/>
    <x v="0"/>
    <x v="0"/>
    <s v="HIIT TRX"/>
    <n v="11"/>
    <n v="78.569999999999993"/>
    <n v="8"/>
    <n v="0"/>
    <s v="Alon Towers"/>
  </r>
  <r>
    <d v="2019-01-24T00:00:00"/>
    <s v="חמישי"/>
    <d v="1899-12-30T17:30:00"/>
    <d v="1899-12-30T18:20:00"/>
    <n v="0.83299999999999996"/>
    <n v="50"/>
    <s v="מתקיים"/>
    <x v="2"/>
    <x v="0"/>
    <s v="Power Yoga"/>
    <n v="12"/>
    <n v="100"/>
    <n v="8"/>
    <n v="4"/>
    <s v="Alon Towers"/>
  </r>
  <r>
    <d v="2019-01-24T00:00:00"/>
    <s v="חמישי"/>
    <d v="1899-12-30T18:30:00"/>
    <d v="1899-12-30T19:20:00"/>
    <n v="0.83299999999999996"/>
    <n v="50"/>
    <s v="מתקיים"/>
    <x v="7"/>
    <x v="0"/>
    <s v="Alon Cross"/>
    <n v="18"/>
    <n v="120"/>
    <n v="13"/>
    <n v="9"/>
    <s v="Alon Towers"/>
  </r>
  <r>
    <d v="2019-01-24T00:00:00"/>
    <s v="חמישי"/>
    <d v="1899-12-30T07:30:00"/>
    <d v="1899-12-30T08:20:00"/>
    <n v="0.83299999999999996"/>
    <n v="50"/>
    <s v="מתקיים"/>
    <x v="1"/>
    <x v="0"/>
    <s v="HIIT פונקציונלי"/>
    <n v="14"/>
    <n v="93.33"/>
    <n v="13"/>
    <n v="0"/>
    <s v="Alon Towers"/>
  </r>
  <r>
    <d v="2019-01-24T00:00:00"/>
    <s v="חמישי"/>
    <d v="1899-12-30T08:30:00"/>
    <d v="1899-12-30T09:20:00"/>
    <n v="0.83299999999999996"/>
    <n v="50"/>
    <s v="מתקיים"/>
    <x v="6"/>
    <x v="0"/>
    <s v="פילאטיס"/>
    <n v="11"/>
    <n v="91.67"/>
    <n v="10"/>
    <n v="0"/>
    <s v="Alon Towers"/>
  </r>
  <r>
    <d v="2019-01-27T00:00:00"/>
    <s v="ראשון"/>
    <d v="1899-12-30T08:30:00"/>
    <d v="1899-12-30T09:20:00"/>
    <n v="0.83299999999999996"/>
    <n v="50"/>
    <s v="מתקיים"/>
    <x v="2"/>
    <x v="0"/>
    <s v="יוגה"/>
    <n v="12"/>
    <n v="100"/>
    <n v="10"/>
    <n v="10"/>
    <s v="Alon Towers"/>
  </r>
  <r>
    <d v="2019-01-27T00:00:00"/>
    <s v="ראשון"/>
    <d v="1899-12-30T19:00:00"/>
    <d v="1899-12-30T19:50:00"/>
    <n v="0.83299999999999996"/>
    <n v="50"/>
    <s v="מתקיים"/>
    <x v="0"/>
    <x v="0"/>
    <s v="HIIT פונקציונלי"/>
    <n v="16"/>
    <n v="106.67"/>
    <n v="11"/>
    <n v="10"/>
    <s v="Alon Towers"/>
  </r>
  <r>
    <d v="2019-01-27T00:00:00"/>
    <s v="ראשון"/>
    <d v="1899-12-30T18:00:00"/>
    <d v="1899-12-30T18:50:00"/>
    <n v="0.83299999999999996"/>
    <n v="50"/>
    <s v="מתקיים"/>
    <x v="1"/>
    <x v="0"/>
    <s v="core ומתיחות"/>
    <n v="12"/>
    <n v="100"/>
    <n v="8"/>
    <n v="0"/>
    <s v="Alon Towers"/>
  </r>
  <r>
    <d v="2019-01-27T00:00:00"/>
    <s v="ראשון"/>
    <d v="1899-12-30T17:00:00"/>
    <d v="1899-12-30T17:50:00"/>
    <n v="0.83299999999999996"/>
    <n v="50"/>
    <s v="מתקיים"/>
    <x v="0"/>
    <x v="0"/>
    <s v="HIIT TRX"/>
    <n v="15"/>
    <n v="107.14"/>
    <n v="9"/>
    <n v="1"/>
    <s v="Alon Towers"/>
  </r>
  <r>
    <d v="2019-01-28T00:00:00"/>
    <s v="שני"/>
    <d v="1899-12-30T07:30:00"/>
    <d v="1899-12-30T08:20:00"/>
    <n v="0.83299999999999996"/>
    <n v="50"/>
    <s v="מתקיים"/>
    <x v="4"/>
    <x v="0"/>
    <s v="פילאטיס"/>
    <n v="14"/>
    <n v="116.67"/>
    <n v="13"/>
    <n v="3"/>
    <s v="Alon Towers"/>
  </r>
  <r>
    <d v="2019-01-28T00:00:00"/>
    <s v="שני"/>
    <d v="1899-12-30T18:10:00"/>
    <d v="1899-12-30T19:00:00"/>
    <n v="0.83299999999999996"/>
    <n v="50"/>
    <s v="מתקיים"/>
    <x v="8"/>
    <x v="0"/>
    <s v="HIIT פונקציונלי"/>
    <n v="15"/>
    <n v="100"/>
    <n v="11"/>
    <n v="4"/>
    <s v="Alon Towers"/>
  </r>
  <r>
    <d v="2019-01-28T00:00:00"/>
    <s v="שני"/>
    <d v="1899-12-30T17:00:00"/>
    <d v="1899-12-30T17:50:00"/>
    <n v="0.83299999999999996"/>
    <n v="50"/>
    <s v="מתקיים"/>
    <x v="2"/>
    <x v="0"/>
    <s v="יוגה"/>
    <n v="12"/>
    <n v="100"/>
    <n v="12"/>
    <n v="5"/>
    <s v="Alon Towers"/>
  </r>
  <r>
    <d v="2019-01-28T00:00:00"/>
    <s v="שני"/>
    <d v="1899-12-30T08:30:00"/>
    <d v="1899-12-30T09:20:00"/>
    <n v="0.83299999999999996"/>
    <n v="50"/>
    <s v="מתקיים"/>
    <x v="4"/>
    <x v="0"/>
    <s v="Alon Skill"/>
    <n v="15"/>
    <n v="100"/>
    <n v="12"/>
    <n v="0"/>
    <s v="Alon Towers"/>
  </r>
  <r>
    <d v="2019-01-29T00:00:00"/>
    <s v="שלישי"/>
    <d v="1899-12-30T07:30:00"/>
    <d v="1899-12-30T08:20:00"/>
    <n v="0.83299999999999996"/>
    <n v="50"/>
    <s v="מתקיים"/>
    <x v="0"/>
    <x v="0"/>
    <s v="HIIT פונקציונלי"/>
    <n v="12"/>
    <n v="80"/>
    <n v="11"/>
    <n v="0"/>
    <s v="Alon Towers"/>
  </r>
  <r>
    <d v="2019-01-29T00:00:00"/>
    <s v="שלישי"/>
    <d v="1899-12-30T18:45:00"/>
    <d v="1899-12-30T19:35:00"/>
    <n v="0.83299999999999996"/>
    <n v="50"/>
    <s v="מתקיים"/>
    <x v="1"/>
    <x v="0"/>
    <s v="core ומתיחות"/>
    <n v="13"/>
    <n v="108.33"/>
    <n v="11"/>
    <n v="5"/>
    <s v="Alon Towers"/>
  </r>
  <r>
    <d v="2019-01-29T00:00:00"/>
    <s v="שלישי"/>
    <d v="1899-12-30T08:30:00"/>
    <d v="1899-12-30T09:20:00"/>
    <n v="0.83299999999999996"/>
    <n v="50"/>
    <s v="מתקיים"/>
    <x v="2"/>
    <x v="0"/>
    <s v="Power Yoga"/>
    <n v="12"/>
    <n v="100"/>
    <n v="9"/>
    <n v="0"/>
    <s v="Alon Towers"/>
  </r>
  <r>
    <d v="2019-01-29T00:00:00"/>
    <s v="שלישי"/>
    <d v="1899-12-30T17:45:00"/>
    <d v="1899-12-30T18:35:00"/>
    <n v="0.83299999999999996"/>
    <n v="50"/>
    <s v="מתקיים"/>
    <x v="3"/>
    <x v="0"/>
    <s v="Kickbox"/>
    <n v="15"/>
    <n v="100"/>
    <n v="14"/>
    <n v="1"/>
    <s v="Alon Towers"/>
  </r>
  <r>
    <d v="2019-01-30T00:00:00"/>
    <s v="רביעי"/>
    <d v="1899-12-30T18:30:00"/>
    <d v="1899-12-30T19:20:00"/>
    <n v="0.83299999999999996"/>
    <n v="50"/>
    <s v="מתקיים"/>
    <x v="4"/>
    <x v="0"/>
    <s v="Alon Skill"/>
    <n v="16"/>
    <n v="106.67"/>
    <n v="15"/>
    <n v="7"/>
    <s v="Alon Towers"/>
  </r>
  <r>
    <d v="2019-01-30T00:00:00"/>
    <s v="רביעי"/>
    <d v="1899-12-30T17:30:00"/>
    <d v="1899-12-30T18:20:00"/>
    <n v="0.83299999999999996"/>
    <n v="50"/>
    <s v="מתקיים"/>
    <x v="4"/>
    <x v="0"/>
    <s v="פילאטיס"/>
    <n v="14"/>
    <n v="116.67"/>
    <n v="13"/>
    <n v="8"/>
    <s v="Alon Towers"/>
  </r>
  <r>
    <d v="2019-01-30T00:00:00"/>
    <s v="רביעי"/>
    <d v="1899-12-30T08:30:00"/>
    <d v="1899-12-30T09:20:00"/>
    <n v="0.83299999999999996"/>
    <n v="50"/>
    <s v="מתקיים"/>
    <x v="10"/>
    <x v="0"/>
    <s v="HIIT TRX"/>
    <n v="11"/>
    <n v="78.569999999999993"/>
    <n v="9"/>
    <n v="0"/>
    <s v="Alon Towers"/>
  </r>
  <r>
    <d v="2019-01-30T00:00:00"/>
    <s v="רביעי"/>
    <d v="1899-12-30T07:30:00"/>
    <d v="1899-12-30T08:20:00"/>
    <n v="0.83299999999999996"/>
    <n v="50"/>
    <s v="מתקיים"/>
    <x v="2"/>
    <x v="0"/>
    <s v="יוגה"/>
    <n v="9"/>
    <n v="75"/>
    <n v="9"/>
    <n v="0"/>
    <s v="Alon Towers"/>
  </r>
  <r>
    <d v="2019-01-31T00:00:00"/>
    <s v="חמישי"/>
    <d v="1899-12-30T17:30:00"/>
    <d v="1899-12-30T18:20:00"/>
    <n v="0.83299999999999996"/>
    <n v="50"/>
    <s v="מתקיים"/>
    <x v="2"/>
    <x v="0"/>
    <s v="Power Yoga"/>
    <n v="12"/>
    <n v="100"/>
    <n v="11"/>
    <n v="10"/>
    <s v="Alon Towers"/>
  </r>
  <r>
    <d v="2019-01-31T00:00:00"/>
    <s v="חמישי"/>
    <d v="1899-12-30T18:30:00"/>
    <d v="1899-12-30T19:20:00"/>
    <n v="0.83299999999999996"/>
    <n v="50"/>
    <s v="מתקיים"/>
    <x v="7"/>
    <x v="0"/>
    <s v="Alon Cross"/>
    <n v="17"/>
    <n v="113.33"/>
    <n v="15"/>
    <n v="16"/>
    <s v="Alon Towers"/>
  </r>
  <r>
    <d v="2019-01-31T00:00:00"/>
    <s v="חמישי"/>
    <d v="1899-12-30T07:30:00"/>
    <d v="1899-12-30T08:20:00"/>
    <n v="0.83299999999999996"/>
    <n v="50"/>
    <s v="מתקיים"/>
    <x v="1"/>
    <x v="0"/>
    <s v="HIIT פונקציונלי"/>
    <n v="11"/>
    <n v="73.33"/>
    <n v="10"/>
    <n v="0"/>
    <s v="Alon Towers"/>
  </r>
  <r>
    <d v="2019-01-31T00:00:00"/>
    <s v="חמישי"/>
    <d v="1899-12-30T08:30:00"/>
    <d v="1899-12-30T09:20:00"/>
    <n v="0.83299999999999996"/>
    <n v="50"/>
    <s v="מתקיים"/>
    <x v="6"/>
    <x v="0"/>
    <s v="פילאטיס"/>
    <n v="11"/>
    <n v="91.67"/>
    <n v="10"/>
    <n v="1"/>
    <s v="Alon Towe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1" cacheId="3" applyNumberFormats="0" applyBorderFormats="0" applyFontFormats="0" applyPatternFormats="0" applyAlignmentFormats="0" applyWidthHeightFormats="1" dataCaption="ערכים" updatedVersion="6" minRefreshableVersion="3" useAutoFormatting="1" itemPrintTitles="1" createdVersion="6" indent="0" outline="1" outlineData="1" multipleFieldFilters="0">
  <location ref="A3:B16" firstHeaderRow="1" firstDataRow="1" firstDataCol="1"/>
  <pivotFields count="15">
    <pivotField dataField="1" numFmtId="14" showAll="0"/>
    <pivotField showAll="0"/>
    <pivotField numFmtId="21" showAll="0"/>
    <pivotField numFmtId="21" showAll="0"/>
    <pivotField showAll="0"/>
    <pivotField showAll="0"/>
    <pivotField showAll="0"/>
    <pivotField axis="axisRow" showAll="0">
      <items count="13">
        <item x="0"/>
        <item x="7"/>
        <item x="9"/>
        <item x="1"/>
        <item x="3"/>
        <item x="5"/>
        <item x="2"/>
        <item x="8"/>
        <item x="6"/>
        <item x="4"/>
        <item x="10"/>
        <item x="11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ספירה של תאריך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PivotTable1" cacheId="2" applyNumberFormats="0" applyBorderFormats="0" applyFontFormats="0" applyPatternFormats="0" applyAlignmentFormats="0" applyWidthHeightFormats="1" dataCaption="ערכים" updatedVersion="6" minRefreshableVersion="3" useAutoFormatting="1" itemPrintTitles="1" createdVersion="6" indent="0" outline="1" outlineData="1" multipleFieldFilters="0">
  <location ref="P4:S16" firstHeaderRow="1" firstDataRow="2" firstDataCol="1"/>
  <pivotFields count="14">
    <pivotField dataField="1" numFmtId="14" showAll="0"/>
    <pivotField showAll="0"/>
    <pivotField numFmtId="21" showAll="0"/>
    <pivotField numFmtId="21" showAll="0"/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11">
        <item x="1"/>
        <item x="7"/>
        <item x="3"/>
        <item x="6"/>
        <item x="0"/>
        <item x="8"/>
        <item x="5"/>
        <item x="9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ספירה של תאריך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rightToLeft="1" zoomScale="90" zoomScaleNormal="90" workbookViewId="0">
      <selection activeCell="B10" sqref="B10"/>
    </sheetView>
  </sheetViews>
  <sheetFormatPr defaultColWidth="8.875" defaultRowHeight="14.25"/>
  <cols>
    <col min="1" max="1" width="17.625" bestFit="1" customWidth="1"/>
    <col min="2" max="2" width="9.125" bestFit="1" customWidth="1"/>
    <col min="3" max="3" width="19.625" bestFit="1" customWidth="1"/>
    <col min="4" max="4" width="18.125" bestFit="1" customWidth="1"/>
    <col min="5" max="5" width="33.125" bestFit="1" customWidth="1"/>
    <col min="6" max="6" width="17.625" bestFit="1" customWidth="1"/>
    <col min="7" max="7" width="16.625" customWidth="1"/>
    <col min="13" max="13" width="12.125" customWidth="1"/>
    <col min="14" max="14" width="17.625" customWidth="1"/>
    <col min="15" max="15" width="10.125" bestFit="1" customWidth="1"/>
    <col min="16" max="16" width="9" customWidth="1"/>
    <col min="17" max="17" width="12.625" customWidth="1"/>
    <col min="18" max="18" width="10.625" customWidth="1"/>
    <col min="19" max="19" width="9" customWidth="1"/>
  </cols>
  <sheetData>
    <row r="1" spans="1:16" ht="27.75">
      <c r="A1" s="1"/>
      <c r="B1" s="2"/>
      <c r="C1" s="2"/>
      <c r="D1" s="1"/>
      <c r="E1" s="34" t="s">
        <v>0</v>
      </c>
      <c r="F1" s="3"/>
      <c r="G1" s="3"/>
      <c r="H1" s="4"/>
      <c r="I1" s="1"/>
      <c r="J1" s="5"/>
    </row>
    <row r="2" spans="1:16" ht="20.25">
      <c r="B2" s="6"/>
      <c r="C2" s="6"/>
      <c r="D2" s="7"/>
      <c r="E2" s="96" t="s">
        <v>151</v>
      </c>
      <c r="G2" s="6"/>
      <c r="H2" s="8"/>
      <c r="I2" s="9"/>
      <c r="J2" s="10"/>
    </row>
    <row r="3" spans="1:16" ht="20.25">
      <c r="A3" s="11" t="s">
        <v>1</v>
      </c>
      <c r="B3" s="78">
        <v>0.79166666666666663</v>
      </c>
      <c r="C3" s="78">
        <v>0.33333333333333331</v>
      </c>
      <c r="D3" s="7"/>
      <c r="E3" s="6"/>
      <c r="H3" s="12"/>
      <c r="I3" s="13"/>
      <c r="J3" s="10"/>
    </row>
    <row r="4" spans="1:16" ht="19.5" thickBot="1">
      <c r="A4" s="14"/>
      <c r="B4" s="6"/>
      <c r="C4" s="6"/>
      <c r="D4" s="7"/>
      <c r="E4" s="6"/>
      <c r="G4" s="6"/>
      <c r="H4" s="15"/>
      <c r="I4" s="16"/>
      <c r="J4" s="10"/>
    </row>
    <row r="5" spans="1:16" ht="19.5" thickBot="1">
      <c r="A5" s="17"/>
      <c r="B5" s="6"/>
      <c r="C5" s="6"/>
      <c r="D5" s="33" t="s">
        <v>11</v>
      </c>
      <c r="E5" s="81" t="s">
        <v>241</v>
      </c>
      <c r="F5" s="82">
        <v>46174</v>
      </c>
      <c r="H5" s="8"/>
      <c r="I5" s="6"/>
      <c r="J5" s="10"/>
    </row>
    <row r="6" spans="1:16">
      <c r="A6" s="18"/>
      <c r="B6" s="19"/>
      <c r="C6" s="19"/>
      <c r="D6" s="20"/>
      <c r="E6" s="19"/>
      <c r="F6" s="19"/>
      <c r="G6" s="19"/>
      <c r="H6" s="18"/>
      <c r="I6" s="19"/>
      <c r="J6" s="21"/>
    </row>
    <row r="7" spans="1:16">
      <c r="A7" s="35" t="s">
        <v>2</v>
      </c>
      <c r="B7" s="35" t="s">
        <v>3</v>
      </c>
      <c r="C7" s="35" t="s">
        <v>128</v>
      </c>
      <c r="D7" s="276" t="s">
        <v>165</v>
      </c>
      <c r="E7" s="276" t="s">
        <v>161</v>
      </c>
      <c r="F7" s="36" t="s">
        <v>4</v>
      </c>
      <c r="G7" s="35"/>
      <c r="H7" s="22"/>
    </row>
    <row r="8" spans="1:16">
      <c r="A8" s="37" t="s">
        <v>5</v>
      </c>
      <c r="B8" s="37" t="s">
        <v>6</v>
      </c>
      <c r="C8" s="37" t="s">
        <v>129</v>
      </c>
      <c r="D8" s="277"/>
      <c r="E8" s="277"/>
      <c r="F8" s="38" t="s">
        <v>7</v>
      </c>
      <c r="G8" s="37" t="s">
        <v>8</v>
      </c>
      <c r="H8" s="22"/>
    </row>
    <row r="9" spans="1:16" ht="15">
      <c r="A9" s="23">
        <v>46174</v>
      </c>
      <c r="B9" s="24" t="str">
        <f>TEXT(A9,"dddd")</f>
        <v>Monday</v>
      </c>
      <c r="C9" s="24" t="e">
        <f>VLOOKUP(A9,חגים!$A$2:$C$794,2,FALSE)</f>
        <v>#N/A</v>
      </c>
      <c r="D9" s="24" t="str">
        <f>IF(B9=$N$26, $N$18, IF(B9=$N$27, $N$19, IF(OR(B9=$N$21, B9=$N$22, B9=$N$23, B9=$N$24, B9=$N$25), $N$17, "ERR")))</f>
        <v>ERR</v>
      </c>
      <c r="E9" s="24" t="str">
        <f>IF(OR(B9=$M$26,B9=$M$27),"CLOSED",IF(OR(B9=$M$21,B9=$M$22,B9=$M$23,B9=$M$24,B9=$M$25),$O$17,"ERR"))</f>
        <v>ERR</v>
      </c>
      <c r="F9" s="25" t="str">
        <f>IF(OR(B9=$M$26),$N$26,IF(OR(B9=$M$27),$N$27,IF(OR(B9=$M$21,B9=$M$22,B9=$M$23,B9=$M$24,B9=$M$25),$N$21,"ERR")))</f>
        <v>ERR</v>
      </c>
      <c r="G9" s="39"/>
      <c r="H9" s="21"/>
    </row>
    <row r="10" spans="1:16" ht="15">
      <c r="A10" s="23">
        <v>46175</v>
      </c>
      <c r="B10" s="24" t="str">
        <f t="shared" ref="B10:B36" si="0">TEXT(A10,"dddd")</f>
        <v>Tuesday</v>
      </c>
      <c r="C10" s="24" t="e">
        <f>VLOOKUP(A10,חגים!$A$2:$C$794,2,FALSE)</f>
        <v>#N/A</v>
      </c>
      <c r="D10" s="24" t="str">
        <f>IF(OR(B10=$M$26),$M$18,IF(OR(B10=$M$27),$M$19,IF(OR(B10=$M$21,B10=$M$22,B10=$M$23,B10=$M$24,B10=$M$25),$M$17,"ERR")))</f>
        <v>ERR</v>
      </c>
      <c r="E10" s="24" t="str">
        <f t="shared" ref="E10:E35" si="1">IF(OR(B10=$M$26,B10=$M$27),"CLOSED",IF(OR(B10=$M$21,B10=$M$22,B10=$M$23,B10=$M$24,B10=$M$25),$O$17,"ERR"))</f>
        <v>ERR</v>
      </c>
      <c r="F10" s="25" t="str">
        <f t="shared" ref="F10:F39" si="2">IF(OR(B10=$M$26),$N$26,IF(OR(B10=$M$27),$N$27,IF(OR(B10=$M$21,B10=$M$22,B10=$M$23,B10=$M$24,B10=$M$25),$N$21,"ERR")))</f>
        <v>ERR</v>
      </c>
      <c r="G10" s="39"/>
      <c r="H10" s="21"/>
    </row>
    <row r="11" spans="1:16" ht="15">
      <c r="A11" s="23">
        <v>46176</v>
      </c>
      <c r="B11" s="24" t="str">
        <f t="shared" si="0"/>
        <v>Wednesday</v>
      </c>
      <c r="C11" s="24" t="e">
        <f>VLOOKUP(A11,חגים!$A$2:$C$794,2,FALSE)</f>
        <v>#N/A</v>
      </c>
      <c r="D11" s="24" t="str">
        <f>IF(OR(B11=$M$26),$M$18,IF(OR(B11=$M$27),$M$19,IF(OR(B11=$M$21,B11=$M$22,B11=$M$23,B11=$M$24,B11=$M$25),$M$17,"ERR")))</f>
        <v>ERR</v>
      </c>
      <c r="E11" s="24" t="str">
        <f>IF(OR(B11=$M$26,B11=$M$27),"CLOSED",IF(OR(B11=$M$21,B11=$M$22,B11=$M$23,B11=$M$24,B11=$M$25),$O$17,"ERR"))</f>
        <v>ERR</v>
      </c>
      <c r="F11" s="25" t="str">
        <f t="shared" si="2"/>
        <v>ERR</v>
      </c>
      <c r="G11" s="39"/>
      <c r="H11" s="21"/>
    </row>
    <row r="12" spans="1:16" ht="15">
      <c r="A12" s="23">
        <v>46177</v>
      </c>
      <c r="B12" s="100" t="str">
        <f t="shared" si="0"/>
        <v>Thursday</v>
      </c>
      <c r="C12" s="100" t="e">
        <f>VLOOKUP(A12,חגים!$A$2:$C$794,2,FALSE)</f>
        <v>#N/A</v>
      </c>
      <c r="D12" s="100" t="str">
        <f>IF(OR(B12=$M$26),$M$18,IF(OR(B12=$M$27),$M$19,IF(OR(B12=$M$21,B12=$M$22,B12=$M$23,B12=$M$24,B12=$M$25),$M$17,"ERR")))</f>
        <v>ERR</v>
      </c>
      <c r="E12" s="24" t="str">
        <f t="shared" si="1"/>
        <v>ERR</v>
      </c>
      <c r="F12" s="25" t="str">
        <f t="shared" si="2"/>
        <v>ERR</v>
      </c>
      <c r="G12" s="39"/>
      <c r="H12" s="21"/>
    </row>
    <row r="13" spans="1:16" ht="15">
      <c r="A13" s="23">
        <v>46178</v>
      </c>
      <c r="B13" s="100" t="str">
        <f t="shared" si="0"/>
        <v>Friday</v>
      </c>
      <c r="C13" s="100" t="e">
        <f>VLOOKUP(A13,חגים!$A$2:$C$794,2,FALSE)</f>
        <v>#N/A</v>
      </c>
      <c r="D13" s="100" t="str">
        <f t="shared" ref="D13:D35" si="3">IF(OR(B13=$M$26),$M$18,IF(OR(B13=$M$27),$M$19,IF(OR(B13=$M$21,B13=$M$22,B13=$M$23,B13=$M$24,B13=$M$25),$M$17,"ERR")))</f>
        <v>ERR</v>
      </c>
      <c r="E13" s="24" t="str">
        <f t="shared" si="1"/>
        <v>ERR</v>
      </c>
      <c r="F13" s="25" t="str">
        <f t="shared" si="2"/>
        <v>ERR</v>
      </c>
      <c r="G13" s="102"/>
      <c r="H13" s="21"/>
    </row>
    <row r="14" spans="1:16" ht="15">
      <c r="A14" s="23">
        <v>46179</v>
      </c>
      <c r="B14" s="100" t="str">
        <f t="shared" si="0"/>
        <v>Saturday</v>
      </c>
      <c r="C14" s="100" t="e">
        <f>VLOOKUP(A14,חגים!$A$2:$C$794,2,FALSE)</f>
        <v>#N/A</v>
      </c>
      <c r="D14" s="100" t="str">
        <f t="shared" si="3"/>
        <v>ERR</v>
      </c>
      <c r="E14" s="24" t="str">
        <f t="shared" si="1"/>
        <v>ERR</v>
      </c>
      <c r="F14" s="25" t="str">
        <f t="shared" si="2"/>
        <v>ERR</v>
      </c>
      <c r="G14" s="102"/>
      <c r="H14" s="21"/>
    </row>
    <row r="15" spans="1:16" ht="15">
      <c r="A15" s="23">
        <v>46180</v>
      </c>
      <c r="B15" s="100" t="str">
        <f t="shared" si="0"/>
        <v>Sunday</v>
      </c>
      <c r="C15" s="100" t="e">
        <f>VLOOKUP(A15,חגים!$A$2:$C$794,2,FALSE)</f>
        <v>#N/A</v>
      </c>
      <c r="D15" s="100" t="str">
        <f t="shared" si="3"/>
        <v>ERR</v>
      </c>
      <c r="E15" s="24" t="str">
        <f t="shared" si="1"/>
        <v>ERR</v>
      </c>
      <c r="F15" s="25" t="str">
        <f t="shared" si="2"/>
        <v>ERR</v>
      </c>
      <c r="G15" s="102"/>
      <c r="H15" s="21"/>
    </row>
    <row r="16" spans="1:16" ht="15">
      <c r="A16" s="23">
        <v>46181</v>
      </c>
      <c r="B16" s="100" t="str">
        <f t="shared" si="0"/>
        <v>Monday</v>
      </c>
      <c r="C16" s="100" t="e">
        <f>VLOOKUP(A16,חגים!$A$2:$C$794,2,FALSE)</f>
        <v>#N/A</v>
      </c>
      <c r="D16" s="100" t="str">
        <f t="shared" si="3"/>
        <v>ERR</v>
      </c>
      <c r="E16" s="24" t="str">
        <f t="shared" si="1"/>
        <v>ERR</v>
      </c>
      <c r="F16" s="25" t="str">
        <f t="shared" si="2"/>
        <v>ERR</v>
      </c>
      <c r="G16" s="102"/>
      <c r="H16" s="21"/>
      <c r="L16" s="97"/>
      <c r="M16" s="97" t="s">
        <v>164</v>
      </c>
      <c r="N16" s="97" t="s">
        <v>155</v>
      </c>
      <c r="O16" s="97" t="s">
        <v>156</v>
      </c>
      <c r="P16" s="97"/>
    </row>
    <row r="17" spans="1:19" ht="15" customHeight="1">
      <c r="A17" s="23">
        <v>46182</v>
      </c>
      <c r="B17" s="100" t="str">
        <f t="shared" si="0"/>
        <v>Tuesday</v>
      </c>
      <c r="C17" s="100" t="e">
        <f>VLOOKUP(A17,חגים!$A$2:$C$794,2,FALSE)</f>
        <v>#N/A</v>
      </c>
      <c r="D17" s="100" t="str">
        <f t="shared" si="3"/>
        <v>ERR</v>
      </c>
      <c r="E17" s="24" t="str">
        <f t="shared" si="1"/>
        <v>ERR</v>
      </c>
      <c r="F17" s="25" t="str">
        <f t="shared" si="2"/>
        <v>ERR</v>
      </c>
      <c r="G17" s="102"/>
      <c r="H17" s="21"/>
      <c r="K17" t="s">
        <v>154</v>
      </c>
      <c r="M17" s="99" t="s">
        <v>203</v>
      </c>
      <c r="N17" s="99"/>
      <c r="O17" s="99" t="s">
        <v>211</v>
      </c>
    </row>
    <row r="18" spans="1:19" ht="15">
      <c r="A18" s="23">
        <v>46183</v>
      </c>
      <c r="B18" s="100" t="str">
        <f t="shared" si="0"/>
        <v>Wednesday</v>
      </c>
      <c r="C18" s="100" t="e">
        <f>VLOOKUP(A18,חגים!$A$2:$C$794,2,FALSE)</f>
        <v>#N/A</v>
      </c>
      <c r="D18" s="100" t="str">
        <f t="shared" si="3"/>
        <v>ERR</v>
      </c>
      <c r="E18" s="24" t="str">
        <f>IF(OR(B18=$M$26,B18=$M$27),"CLOSED",IF(OR(B18=$M$21,B18=$M$22,B18=$M$23,B18=$M$24,B18=$M$25),$O$17,"ERR"))</f>
        <v>ERR</v>
      </c>
      <c r="F18" s="25" t="str">
        <f t="shared" si="2"/>
        <v>ERR</v>
      </c>
      <c r="G18" s="103"/>
      <c r="H18" s="21"/>
      <c r="K18" t="s">
        <v>152</v>
      </c>
      <c r="M18" s="99" t="s">
        <v>208</v>
      </c>
      <c r="N18" s="99"/>
    </row>
    <row r="19" spans="1:19" ht="15">
      <c r="A19" s="23">
        <v>46184</v>
      </c>
      <c r="B19" s="100" t="str">
        <f t="shared" si="0"/>
        <v>Thursday</v>
      </c>
      <c r="C19" s="100" t="e">
        <f>VLOOKUP(A19,חגים!$A$2:$C$794,2,FALSE)</f>
        <v>#N/A</v>
      </c>
      <c r="D19" s="100" t="str">
        <f t="shared" si="3"/>
        <v>ERR</v>
      </c>
      <c r="E19" s="24" t="str">
        <f>IF(OR(B19=$M$26,B19=$M$27),"CLOSED",IF(OR(B19=$M$21,B19=$M$22,B19=$M$23,B19=$M$24,B19=$M$25),$O$17,"ERR"))</f>
        <v>ERR</v>
      </c>
      <c r="F19" s="25" t="str">
        <f t="shared" si="2"/>
        <v>ERR</v>
      </c>
      <c r="G19" s="102"/>
      <c r="H19" s="21"/>
      <c r="K19" t="s">
        <v>150</v>
      </c>
      <c r="M19" s="99"/>
      <c r="N19" s="99"/>
    </row>
    <row r="20" spans="1:19" ht="15">
      <c r="A20" s="23">
        <v>46185</v>
      </c>
      <c r="B20" s="100" t="str">
        <f t="shared" si="0"/>
        <v>Friday</v>
      </c>
      <c r="C20" s="100" t="e">
        <f>VLOOKUP(A20,חגים!$A$2:$C$794,2,FALSE)</f>
        <v>#N/A</v>
      </c>
      <c r="D20" s="100" t="str">
        <f t="shared" si="3"/>
        <v>ERR</v>
      </c>
      <c r="E20" s="24" t="str">
        <f t="shared" si="1"/>
        <v>ERR</v>
      </c>
      <c r="F20" s="25" t="str">
        <f t="shared" si="2"/>
        <v>ERR</v>
      </c>
      <c r="G20" s="102"/>
      <c r="H20" s="21"/>
    </row>
    <row r="21" spans="1:19" ht="15">
      <c r="A21" s="23">
        <v>46186</v>
      </c>
      <c r="B21" s="100" t="str">
        <f t="shared" si="0"/>
        <v>Saturday</v>
      </c>
      <c r="C21" s="100" t="e">
        <f>VLOOKUP(A21,חגים!$A$2:$C$794,2,FALSE)</f>
        <v>#N/A</v>
      </c>
      <c r="D21" s="100" t="str">
        <f t="shared" si="3"/>
        <v>ERR</v>
      </c>
      <c r="E21" s="24" t="str">
        <f t="shared" si="1"/>
        <v>ERR</v>
      </c>
      <c r="F21" s="25" t="str">
        <f t="shared" si="2"/>
        <v>ERR</v>
      </c>
      <c r="G21" s="102"/>
      <c r="H21" s="21"/>
      <c r="L21" s="83"/>
      <c r="M21" t="s">
        <v>144</v>
      </c>
      <c r="N21">
        <v>7</v>
      </c>
    </row>
    <row r="22" spans="1:19" ht="15" customHeight="1">
      <c r="A22" s="23">
        <v>46187</v>
      </c>
      <c r="B22" s="100" t="str">
        <f t="shared" si="0"/>
        <v>Sunday</v>
      </c>
      <c r="C22" s="100" t="e">
        <f>VLOOKUP(A22,חגים!$A$2:$C$794,2,FALSE)</f>
        <v>#N/A</v>
      </c>
      <c r="D22" s="100" t="str">
        <f t="shared" si="3"/>
        <v>ERR</v>
      </c>
      <c r="E22" s="24" t="str">
        <f t="shared" si="1"/>
        <v>ERR</v>
      </c>
      <c r="F22" s="25" t="str">
        <f t="shared" si="2"/>
        <v>ERR</v>
      </c>
      <c r="G22" s="102"/>
      <c r="H22" s="21"/>
      <c r="L22" s="83"/>
      <c r="M22" t="s">
        <v>145</v>
      </c>
      <c r="N22">
        <v>6</v>
      </c>
      <c r="P22" t="s">
        <v>173</v>
      </c>
      <c r="Q22" s="101" t="s">
        <v>160</v>
      </c>
    </row>
    <row r="23" spans="1:19" ht="15">
      <c r="A23" s="23">
        <v>46188</v>
      </c>
      <c r="B23" s="100" t="str">
        <f t="shared" si="0"/>
        <v>Monday</v>
      </c>
      <c r="C23" s="100" t="e">
        <f>VLOOKUP(A23,חגים!$A$2:$C$794,2,FALSE)</f>
        <v>#N/A</v>
      </c>
      <c r="D23" s="100" t="str">
        <f t="shared" si="3"/>
        <v>ERR</v>
      </c>
      <c r="E23" s="24" t="str">
        <f t="shared" si="1"/>
        <v>ERR</v>
      </c>
      <c r="F23" s="25" t="str">
        <f t="shared" si="2"/>
        <v>ERR</v>
      </c>
      <c r="G23" s="102"/>
      <c r="H23" s="21"/>
      <c r="L23" s="83"/>
      <c r="M23" t="s">
        <v>146</v>
      </c>
      <c r="N23">
        <v>6</v>
      </c>
      <c r="Q23" s="99" t="s">
        <v>157</v>
      </c>
      <c r="R23" s="99" t="s">
        <v>158</v>
      </c>
      <c r="S23" s="99" t="s">
        <v>159</v>
      </c>
    </row>
    <row r="24" spans="1:19" ht="15" customHeight="1">
      <c r="A24" s="23">
        <v>46189</v>
      </c>
      <c r="B24" s="100" t="str">
        <f t="shared" si="0"/>
        <v>Tuesday</v>
      </c>
      <c r="C24" s="100" t="e">
        <f>VLOOKUP(A24,חגים!$A$2:$C$794,2,FALSE)</f>
        <v>#N/A</v>
      </c>
      <c r="D24" s="100" t="str">
        <f t="shared" si="3"/>
        <v>ERR</v>
      </c>
      <c r="E24" s="24" t="str">
        <f t="shared" si="1"/>
        <v>ERR</v>
      </c>
      <c r="F24" s="25" t="str">
        <f t="shared" si="2"/>
        <v>ERR</v>
      </c>
      <c r="G24" s="39"/>
      <c r="H24" s="21"/>
      <c r="L24" s="83"/>
      <c r="M24" t="s">
        <v>147</v>
      </c>
      <c r="N24">
        <v>6</v>
      </c>
      <c r="P24" s="192" t="s">
        <v>209</v>
      </c>
      <c r="Q24" s="98" t="s">
        <v>203</v>
      </c>
      <c r="R24" s="98">
        <v>3</v>
      </c>
      <c r="S24" s="98">
        <v>1</v>
      </c>
    </row>
    <row r="25" spans="1:19" ht="15">
      <c r="A25" s="23">
        <v>46190</v>
      </c>
      <c r="B25" s="100" t="str">
        <f t="shared" si="0"/>
        <v>Wednesday</v>
      </c>
      <c r="C25" s="100" t="e">
        <f>VLOOKUP(A25,חגים!$A$2:$C$794,2,FALSE)</f>
        <v>#N/A</v>
      </c>
      <c r="D25" s="100" t="str">
        <f t="shared" si="3"/>
        <v>ERR</v>
      </c>
      <c r="E25" s="24" t="str">
        <f t="shared" si="1"/>
        <v>ERR</v>
      </c>
      <c r="F25" s="25" t="str">
        <f t="shared" si="2"/>
        <v>ERR</v>
      </c>
      <c r="G25" s="39"/>
      <c r="H25" s="21"/>
      <c r="L25" s="83"/>
      <c r="M25" t="s">
        <v>148</v>
      </c>
      <c r="N25">
        <v>6</v>
      </c>
      <c r="P25" s="192" t="s">
        <v>18</v>
      </c>
      <c r="Q25" s="98" t="s">
        <v>210</v>
      </c>
      <c r="R25" s="98">
        <v>4</v>
      </c>
      <c r="S25" s="98">
        <v>1</v>
      </c>
    </row>
    <row r="26" spans="1:19" ht="15" customHeight="1">
      <c r="A26" s="23">
        <v>46191</v>
      </c>
      <c r="B26" s="100" t="str">
        <f t="shared" si="0"/>
        <v>Thursday</v>
      </c>
      <c r="C26" s="100" t="e">
        <f>VLOOKUP(A26,חגים!$A$2:$C$794,2,FALSE)</f>
        <v>#N/A</v>
      </c>
      <c r="D26" s="100" t="str">
        <f t="shared" si="3"/>
        <v>ERR</v>
      </c>
      <c r="E26" s="24" t="str">
        <f t="shared" si="1"/>
        <v>ERR</v>
      </c>
      <c r="F26" s="25" t="str">
        <f t="shared" si="2"/>
        <v>ERR</v>
      </c>
      <c r="G26" s="39"/>
      <c r="H26" s="21"/>
      <c r="L26" s="83"/>
      <c r="M26" t="s">
        <v>149</v>
      </c>
      <c r="N26">
        <v>4</v>
      </c>
      <c r="P26" s="192" t="s">
        <v>212</v>
      </c>
      <c r="Q26" s="98" t="s">
        <v>211</v>
      </c>
      <c r="R26" s="98">
        <v>3</v>
      </c>
      <c r="S26" s="98"/>
    </row>
    <row r="27" spans="1:19" ht="15" customHeight="1">
      <c r="A27" s="23">
        <v>46192</v>
      </c>
      <c r="B27" s="100" t="str">
        <f t="shared" si="0"/>
        <v>Friday</v>
      </c>
      <c r="C27" s="100" t="e">
        <f>VLOOKUP(A27,חגים!$A$2:$C$794,2,FALSE)</f>
        <v>#N/A</v>
      </c>
      <c r="D27" s="100" t="str">
        <f t="shared" si="3"/>
        <v>ERR</v>
      </c>
      <c r="E27" s="24" t="str">
        <f t="shared" si="1"/>
        <v>ERR</v>
      </c>
      <c r="F27" s="25" t="str">
        <f t="shared" si="2"/>
        <v>ERR</v>
      </c>
      <c r="G27" s="102"/>
      <c r="H27" s="21"/>
      <c r="L27" s="83"/>
      <c r="M27" t="s">
        <v>150</v>
      </c>
      <c r="P27" s="278" t="s">
        <v>152</v>
      </c>
      <c r="Q27" s="98" t="s">
        <v>208</v>
      </c>
      <c r="R27" s="98">
        <v>4</v>
      </c>
      <c r="S27" s="98">
        <v>1</v>
      </c>
    </row>
    <row r="28" spans="1:19" ht="15" customHeight="1">
      <c r="A28" s="23">
        <v>46193</v>
      </c>
      <c r="B28" s="100" t="str">
        <f t="shared" si="0"/>
        <v>Saturday</v>
      </c>
      <c r="C28" s="100" t="e">
        <f>VLOOKUP(A28,חגים!$A$2:$C$794,2,FALSE)</f>
        <v>#N/A</v>
      </c>
      <c r="D28" s="100" t="str">
        <f t="shared" si="3"/>
        <v>ERR</v>
      </c>
      <c r="E28" s="24" t="str">
        <f t="shared" si="1"/>
        <v>ERR</v>
      </c>
      <c r="F28" s="25" t="str">
        <f t="shared" si="2"/>
        <v>ERR</v>
      </c>
      <c r="G28" s="102"/>
      <c r="H28" s="21"/>
      <c r="P28" s="279"/>
      <c r="Q28" s="98"/>
      <c r="R28" s="98"/>
      <c r="S28" s="98"/>
    </row>
    <row r="29" spans="1:19" ht="15" customHeight="1">
      <c r="A29" s="23">
        <v>46194</v>
      </c>
      <c r="B29" s="100" t="str">
        <f t="shared" si="0"/>
        <v>Sunday</v>
      </c>
      <c r="C29" s="100" t="e">
        <f>VLOOKUP(A29,חגים!$A$2:$C$794,2,FALSE)</f>
        <v>#N/A</v>
      </c>
      <c r="D29" s="100" t="str">
        <f t="shared" si="3"/>
        <v>ERR</v>
      </c>
      <c r="E29" s="24" t="str">
        <f t="shared" si="1"/>
        <v>ERR</v>
      </c>
      <c r="F29" s="25" t="str">
        <f t="shared" si="2"/>
        <v>ERR</v>
      </c>
      <c r="G29" s="102"/>
      <c r="H29" s="21"/>
      <c r="P29" s="280"/>
      <c r="Q29" s="98"/>
      <c r="R29" s="98"/>
      <c r="S29" s="98"/>
    </row>
    <row r="30" spans="1:19" ht="15">
      <c r="A30" s="23">
        <v>46195</v>
      </c>
      <c r="B30" s="100" t="str">
        <f t="shared" si="0"/>
        <v>Monday</v>
      </c>
      <c r="C30" s="100" t="e">
        <f>VLOOKUP(A30,חגים!$A$2:$C$794,2,FALSE)</f>
        <v>#N/A</v>
      </c>
      <c r="D30" s="100" t="str">
        <f t="shared" si="3"/>
        <v>ERR</v>
      </c>
      <c r="E30" s="24" t="str">
        <f t="shared" si="1"/>
        <v>ERR</v>
      </c>
      <c r="F30" s="25" t="str">
        <f t="shared" si="2"/>
        <v>ERR</v>
      </c>
      <c r="G30" s="104"/>
      <c r="H30" s="21"/>
      <c r="P30" s="274" t="s">
        <v>150</v>
      </c>
      <c r="Q30" s="98"/>
      <c r="R30" s="98"/>
      <c r="S30" s="98"/>
    </row>
    <row r="31" spans="1:19" ht="15">
      <c r="A31" s="23">
        <v>46196</v>
      </c>
      <c r="B31" s="100" t="str">
        <f t="shared" si="0"/>
        <v>Tuesday</v>
      </c>
      <c r="C31" s="100" t="e">
        <f>VLOOKUP(A31,חגים!$A$2:$C$794,2,FALSE)</f>
        <v>#N/A</v>
      </c>
      <c r="D31" s="100" t="str">
        <f t="shared" si="3"/>
        <v>ERR</v>
      </c>
      <c r="E31" s="24" t="str">
        <f t="shared" si="1"/>
        <v>ERR</v>
      </c>
      <c r="F31" s="25" t="str">
        <f t="shared" si="2"/>
        <v>ERR</v>
      </c>
      <c r="G31" s="102"/>
      <c r="H31" s="21"/>
      <c r="P31" s="275"/>
      <c r="Q31" s="98"/>
      <c r="R31" s="98"/>
      <c r="S31" s="98"/>
    </row>
    <row r="32" spans="1:19" ht="15">
      <c r="A32" s="23">
        <v>46197</v>
      </c>
      <c r="B32" s="100" t="str">
        <f t="shared" si="0"/>
        <v>Wednesday</v>
      </c>
      <c r="C32" s="100" t="e">
        <f>VLOOKUP(A32,חגים!$A$2:$C$794,2,FALSE)</f>
        <v>#N/A</v>
      </c>
      <c r="D32" s="100" t="str">
        <f t="shared" si="3"/>
        <v>ERR</v>
      </c>
      <c r="E32" s="24" t="str">
        <f t="shared" si="1"/>
        <v>ERR</v>
      </c>
      <c r="F32" s="25" t="str">
        <f t="shared" si="2"/>
        <v>ERR</v>
      </c>
      <c r="G32" s="102"/>
      <c r="H32" s="21"/>
    </row>
    <row r="33" spans="1:14" ht="15">
      <c r="A33" s="23">
        <v>46198</v>
      </c>
      <c r="B33" s="100" t="str">
        <f t="shared" si="0"/>
        <v>Thursday</v>
      </c>
      <c r="C33" s="100" t="e">
        <f>VLOOKUP(A33,חגים!$A$2:$C$794,2,FALSE)</f>
        <v>#N/A</v>
      </c>
      <c r="D33" s="100" t="str">
        <f t="shared" si="3"/>
        <v>ERR</v>
      </c>
      <c r="E33" s="24" t="str">
        <f t="shared" si="1"/>
        <v>ERR</v>
      </c>
      <c r="F33" s="25" t="str">
        <f t="shared" si="2"/>
        <v>ERR</v>
      </c>
      <c r="G33" s="105"/>
      <c r="H33" s="21"/>
    </row>
    <row r="34" spans="1:14" ht="15">
      <c r="A34" s="23">
        <v>46199</v>
      </c>
      <c r="B34" s="100" t="str">
        <f t="shared" si="0"/>
        <v>Friday</v>
      </c>
      <c r="C34" s="100" t="e">
        <f>VLOOKUP(A34,חגים!$A$2:$C$794,2,FALSE)</f>
        <v>#N/A</v>
      </c>
      <c r="D34" s="100" t="str">
        <f t="shared" si="3"/>
        <v>ERR</v>
      </c>
      <c r="E34" s="24" t="str">
        <f t="shared" si="1"/>
        <v>ERR</v>
      </c>
      <c r="F34" s="25" t="str">
        <f t="shared" si="2"/>
        <v>ERR</v>
      </c>
      <c r="G34" s="102"/>
      <c r="H34" s="21"/>
    </row>
    <row r="35" spans="1:14" ht="15">
      <c r="A35" s="23">
        <v>46200</v>
      </c>
      <c r="B35" s="100" t="str">
        <f t="shared" si="0"/>
        <v>Saturday</v>
      </c>
      <c r="C35" s="100" t="e">
        <f>VLOOKUP(A35,חגים!$A$2:$C$794,2,FALSE)</f>
        <v>#N/A</v>
      </c>
      <c r="D35" s="100" t="str">
        <f t="shared" si="3"/>
        <v>ERR</v>
      </c>
      <c r="E35" s="24" t="str">
        <f t="shared" si="1"/>
        <v>ERR</v>
      </c>
      <c r="F35" s="25" t="str">
        <f t="shared" si="2"/>
        <v>ERR</v>
      </c>
      <c r="G35" s="102"/>
      <c r="H35" s="21"/>
    </row>
    <row r="36" spans="1:14" ht="15" customHeight="1">
      <c r="A36" s="23">
        <v>46201</v>
      </c>
      <c r="B36" s="100" t="str">
        <f t="shared" si="0"/>
        <v>Sunday</v>
      </c>
      <c r="C36" s="100" t="e">
        <f>VLOOKUP(A36,חגים!$A$2:$C$794,2,FALSE)</f>
        <v>#N/A</v>
      </c>
      <c r="D36" s="100" t="str">
        <f>IF(OR(B36=$M$26),$M$18,IF(OR(B36=$M$27),$M$19,IF(OR(B36=$M$21,B36=$M$22,B36=$M$23,B36=$M$24,B36=$M$25),$M$17,"ERR")))</f>
        <v>ERR</v>
      </c>
      <c r="E36" s="24" t="str">
        <f>IF(OR(B36=$M$26,B36=$M$27),"CLOSED",IF(OR(B36=$M$21,B36=$M$22,B36=$M$23,B36=$M$24,B36=$M$25),$O$17,"ERR"))</f>
        <v>ERR</v>
      </c>
      <c r="F36" s="25" t="str">
        <f t="shared" si="2"/>
        <v>ERR</v>
      </c>
      <c r="G36" s="102"/>
      <c r="H36" s="21"/>
      <c r="L36" s="160">
        <v>0.70833333333333337</v>
      </c>
      <c r="M36" s="160">
        <v>0.875</v>
      </c>
    </row>
    <row r="37" spans="1:14" ht="15">
      <c r="A37" s="23">
        <v>46202</v>
      </c>
      <c r="B37" s="100" t="str">
        <f t="shared" ref="B37:B38" si="4">TEXT(A37,"dddd")</f>
        <v>Monday</v>
      </c>
      <c r="C37" s="100" t="e">
        <f>VLOOKUP(A37,חגים!$A$2:$C$794,2,FALSE)</f>
        <v>#N/A</v>
      </c>
      <c r="D37" s="100" t="str">
        <f t="shared" ref="D37:D38" si="5">IF(OR(B37=$M$26),$M$18,IF(OR(B37=$M$27),$M$19,IF(OR(B37=$M$21,B37=$M$22,B37=$M$23,B37=$M$24,B37=$M$25),$M$17,"ERR")))</f>
        <v>ERR</v>
      </c>
      <c r="E37" s="24" t="str">
        <f t="shared" ref="E37:E38" si="6">IF(OR(B37=$M$26,B37=$M$27),"CLOSED",IF(OR(B37=$M$21,B37=$M$22,B37=$M$23,B37=$M$24,B37=$M$25),$O$17,"ERR"))</f>
        <v>ERR</v>
      </c>
      <c r="F37" s="25" t="str">
        <f t="shared" si="2"/>
        <v>ERR</v>
      </c>
      <c r="G37" s="102"/>
      <c r="H37" s="21"/>
      <c r="M37" s="160"/>
    </row>
    <row r="38" spans="1:14" ht="15">
      <c r="A38" s="23">
        <v>46203</v>
      </c>
      <c r="B38" s="100" t="str">
        <f t="shared" si="4"/>
        <v>Tuesday</v>
      </c>
      <c r="C38" s="100" t="e">
        <f>VLOOKUP(A38,חגים!$A$2:$C$794,2,FALSE)</f>
        <v>#N/A</v>
      </c>
      <c r="D38" s="100" t="str">
        <f t="shared" si="5"/>
        <v>ERR</v>
      </c>
      <c r="E38" s="24" t="str">
        <f t="shared" si="6"/>
        <v>ERR</v>
      </c>
      <c r="F38" s="25" t="str">
        <f t="shared" si="2"/>
        <v>ERR</v>
      </c>
      <c r="G38" s="102"/>
      <c r="H38" s="21"/>
      <c r="M38" s="160"/>
    </row>
    <row r="39" spans="1:14" ht="15">
      <c r="A39" s="23">
        <v>46204</v>
      </c>
      <c r="B39" s="100" t="str">
        <f t="shared" ref="B39" si="7">TEXT(A39,"dddd")</f>
        <v>Wednesday</v>
      </c>
      <c r="C39" s="100" t="e">
        <f>VLOOKUP(A39,חגים!$A$2:$C$794,2,FALSE)</f>
        <v>#N/A</v>
      </c>
      <c r="D39" s="100" t="str">
        <f t="shared" ref="D39" si="8">IF(OR(B39=$M$26),$M$18,IF(OR(B39=$M$27),$M$19,IF(OR(B39=$M$21,B39=$M$22,B39=$M$23,B39=$M$24,B39=$M$25),$M$17,"ERR")))</f>
        <v>ERR</v>
      </c>
      <c r="E39" s="24" t="str">
        <f t="shared" ref="E39" si="9">IF(OR(B39=$M$26,B39=$M$27),"CLOSED",IF(OR(B39=$M$21,B39=$M$22,B39=$M$23,B39=$M$24,B39=$M$25),$O$17,"ERR"))</f>
        <v>ERR</v>
      </c>
      <c r="F39" s="25" t="str">
        <f t="shared" si="2"/>
        <v>ERR</v>
      </c>
      <c r="G39" s="102"/>
      <c r="H39" s="21"/>
      <c r="M39" s="160"/>
    </row>
    <row r="40" spans="1:14" ht="23.25">
      <c r="A40" s="43"/>
      <c r="B40" s="40"/>
      <c r="C40" s="40"/>
      <c r="D40" s="24"/>
      <c r="E40" s="42"/>
      <c r="F40" s="42"/>
      <c r="G40" s="26">
        <f>SUM(F9:F39)</f>
        <v>0</v>
      </c>
      <c r="H40" s="40"/>
      <c r="I40" s="27"/>
      <c r="N40" s="160">
        <v>0.875</v>
      </c>
    </row>
    <row r="41" spans="1:14" ht="23.25">
      <c r="A41" s="40" t="s">
        <v>10</v>
      </c>
      <c r="B41" s="40"/>
      <c r="C41" s="40"/>
      <c r="D41" s="24"/>
      <c r="E41" s="42" t="s">
        <v>9</v>
      </c>
      <c r="F41" s="40"/>
      <c r="G41" s="41"/>
      <c r="H41" s="45"/>
      <c r="I41" s="28"/>
      <c r="N41" s="160">
        <v>0.83333333333333337</v>
      </c>
    </row>
    <row r="42" spans="1:14">
      <c r="A42" s="29"/>
      <c r="B42" s="30"/>
      <c r="C42" s="30"/>
      <c r="D42" s="30"/>
      <c r="E42" s="30"/>
      <c r="F42" s="30"/>
      <c r="G42" s="29"/>
      <c r="H42" s="31"/>
      <c r="I42" s="32"/>
      <c r="N42" s="160">
        <v>0.91666666666666663</v>
      </c>
    </row>
    <row r="43" spans="1:14">
      <c r="N43" s="160">
        <v>0.875</v>
      </c>
    </row>
    <row r="44" spans="1:14">
      <c r="N44" s="160">
        <v>0.70833333333333337</v>
      </c>
    </row>
    <row r="45" spans="1:14">
      <c r="N45" s="160">
        <v>0.83333333333333337</v>
      </c>
    </row>
    <row r="46" spans="1:14">
      <c r="N46" s="160">
        <v>0.875</v>
      </c>
    </row>
    <row r="47" spans="1:14">
      <c r="N47" s="160">
        <v>0.79166666666666663</v>
      </c>
    </row>
  </sheetData>
  <mergeCells count="4">
    <mergeCell ref="P30:P31"/>
    <mergeCell ref="E7:E8"/>
    <mergeCell ref="D7:D8"/>
    <mergeCell ref="P27:P2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99"/>
    <pageSetUpPr fitToPage="1"/>
  </sheetPr>
  <dimension ref="A1:AJ68"/>
  <sheetViews>
    <sheetView rightToLeft="1" tabSelected="1" zoomScale="90" zoomScaleNormal="90" workbookViewId="0">
      <pane ySplit="5" topLeftCell="A6" activePane="bottomLeft" state="frozen"/>
      <selection pane="bottomLeft" activeCell="C13" sqref="C13"/>
    </sheetView>
  </sheetViews>
  <sheetFormatPr defaultColWidth="9.125" defaultRowHeight="14.25"/>
  <cols>
    <col min="1" max="1" width="43.625" style="50" bestFit="1" customWidth="1"/>
    <col min="2" max="2" width="15.625" style="50" customWidth="1"/>
    <col min="3" max="3" width="17.125" style="50" customWidth="1"/>
    <col min="4" max="5" width="15.125" style="50" customWidth="1"/>
    <col min="6" max="6" width="16.625" style="50" customWidth="1"/>
    <col min="7" max="8" width="14.625" style="50" customWidth="1"/>
    <col min="9" max="9" width="14.125" style="50" customWidth="1"/>
    <col min="10" max="10" width="14.625" style="50" customWidth="1"/>
    <col min="11" max="11" width="14.125" style="50" customWidth="1"/>
    <col min="12" max="12" width="15" style="50" bestFit="1" customWidth="1"/>
    <col min="13" max="13" width="15.125" style="50" customWidth="1"/>
    <col min="14" max="14" width="19.625" style="50" bestFit="1" customWidth="1"/>
    <col min="15" max="15" width="15.125" style="50" bestFit="1" customWidth="1"/>
    <col min="16" max="16" width="15.125" style="50" customWidth="1"/>
    <col min="17" max="17" width="17.125" style="50" customWidth="1"/>
    <col min="18" max="20" width="15.625" style="50" customWidth="1"/>
    <col min="21" max="21" width="10" style="50" customWidth="1"/>
    <col min="22" max="24" width="10.625" style="50" customWidth="1"/>
    <col min="25" max="25" width="10.625" style="50" bestFit="1" customWidth="1"/>
    <col min="26" max="26" width="11.125" style="50" bestFit="1" customWidth="1"/>
    <col min="27" max="27" width="10.625" style="50" bestFit="1" customWidth="1"/>
    <col min="28" max="28" width="9.125" style="50"/>
    <col min="29" max="29" width="19.625" style="50" bestFit="1" customWidth="1"/>
    <col min="30" max="30" width="9.625" style="50" bestFit="1" customWidth="1"/>
    <col min="31" max="31" width="10.125" style="50" bestFit="1" customWidth="1"/>
    <col min="32" max="32" width="11" style="50" customWidth="1"/>
    <col min="33" max="33" width="13.125" style="50" bestFit="1" customWidth="1"/>
    <col min="34" max="34" width="13.125" style="50" customWidth="1"/>
    <col min="35" max="35" width="11" style="50" customWidth="1"/>
    <col min="36" max="36" width="12.125" style="50" bestFit="1" customWidth="1"/>
    <col min="37" max="16384" width="9.125" style="50"/>
  </cols>
  <sheetData>
    <row r="1" spans="1:36" ht="26.25">
      <c r="A1" s="270" t="s">
        <v>162</v>
      </c>
      <c r="B1" s="271"/>
      <c r="C1" s="271"/>
      <c r="D1" s="271"/>
      <c r="E1" s="271"/>
      <c r="F1" s="271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06"/>
      <c r="AC1" s="106"/>
      <c r="AD1" s="106"/>
      <c r="AE1" s="106"/>
      <c r="AF1" s="106"/>
      <c r="AG1" s="106"/>
      <c r="AH1" s="106"/>
      <c r="AI1" s="106"/>
      <c r="AJ1" s="106"/>
    </row>
    <row r="2" spans="1:36" ht="23.25">
      <c r="A2" s="272" t="s">
        <v>244</v>
      </c>
      <c r="B2" s="273"/>
      <c r="C2" s="273"/>
      <c r="D2" s="273"/>
      <c r="E2" s="273"/>
      <c r="F2" s="27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06"/>
      <c r="AC2" s="106"/>
      <c r="AD2" s="106"/>
      <c r="AE2" s="106"/>
      <c r="AF2" s="106"/>
      <c r="AG2" s="106"/>
      <c r="AH2" s="106"/>
      <c r="AI2" s="106"/>
      <c r="AJ2" s="106"/>
    </row>
    <row r="3" spans="1:36" ht="21" thickBot="1">
      <c r="A3" s="51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X3" s="51"/>
    </row>
    <row r="4" spans="1:36" ht="21" customHeight="1" thickBot="1">
      <c r="A4" s="111" t="s">
        <v>22</v>
      </c>
      <c r="B4" s="172" t="s">
        <v>184</v>
      </c>
      <c r="C4" s="172" t="s">
        <v>229</v>
      </c>
      <c r="D4" s="200" t="s">
        <v>4</v>
      </c>
      <c r="E4" s="214" t="s">
        <v>201</v>
      </c>
      <c r="F4" s="52"/>
      <c r="G4" s="52"/>
      <c r="H4" s="52"/>
      <c r="I4" s="52"/>
      <c r="J4" s="52"/>
      <c r="K4" s="52"/>
      <c r="L4" s="52"/>
    </row>
    <row r="5" spans="1:36" ht="20.25" customHeight="1">
      <c r="A5" s="111" t="s">
        <v>23</v>
      </c>
      <c r="B5" s="173" t="s">
        <v>55</v>
      </c>
      <c r="C5" s="173" t="s">
        <v>218</v>
      </c>
      <c r="D5" s="201"/>
      <c r="E5" s="215"/>
      <c r="F5" s="52"/>
      <c r="G5" s="52"/>
      <c r="H5" s="52"/>
      <c r="I5" s="52"/>
      <c r="J5" s="52"/>
      <c r="K5" s="52"/>
      <c r="L5" s="52"/>
    </row>
    <row r="6" spans="1:36" ht="18">
      <c r="A6" s="112" t="s">
        <v>24</v>
      </c>
      <c r="B6" s="162">
        <v>55</v>
      </c>
      <c r="C6" s="162">
        <v>83.75</v>
      </c>
      <c r="D6" s="126">
        <f t="shared" ref="D6:D13" si="0">SUM(B6:C6)</f>
        <v>138.75</v>
      </c>
      <c r="E6" s="47"/>
      <c r="F6" s="52"/>
      <c r="G6" s="52"/>
      <c r="H6" s="52"/>
      <c r="I6" s="52"/>
      <c r="J6" s="52"/>
      <c r="K6" s="52"/>
      <c r="L6" s="52"/>
    </row>
    <row r="7" spans="1:36" ht="18">
      <c r="A7" s="112" t="s">
        <v>25</v>
      </c>
      <c r="B7" s="162"/>
      <c r="C7" s="162">
        <v>3.25</v>
      </c>
      <c r="D7" s="48">
        <f t="shared" si="0"/>
        <v>3.25</v>
      </c>
      <c r="E7" s="47"/>
      <c r="F7" s="52"/>
      <c r="G7" s="52"/>
      <c r="H7" s="52"/>
      <c r="I7" s="52"/>
      <c r="J7" s="52"/>
      <c r="K7" s="52"/>
      <c r="L7" s="52"/>
    </row>
    <row r="8" spans="1:36" ht="18">
      <c r="A8" s="112" t="s">
        <v>26</v>
      </c>
      <c r="B8" s="162"/>
      <c r="C8" s="162"/>
      <c r="D8" s="48">
        <f t="shared" si="0"/>
        <v>0</v>
      </c>
      <c r="E8" s="47"/>
      <c r="F8" s="52"/>
      <c r="G8" s="52"/>
      <c r="H8" s="52"/>
      <c r="I8" s="52"/>
      <c r="J8" s="52"/>
      <c r="K8" s="52"/>
      <c r="L8" s="52"/>
    </row>
    <row r="9" spans="1:36" ht="18">
      <c r="A9" s="112" t="s">
        <v>27</v>
      </c>
      <c r="B9" s="162"/>
      <c r="C9" s="162"/>
      <c r="D9" s="48">
        <f t="shared" si="0"/>
        <v>0</v>
      </c>
      <c r="E9" s="47"/>
      <c r="F9" s="52"/>
      <c r="G9" s="52"/>
      <c r="H9" s="52"/>
      <c r="I9" s="52"/>
      <c r="J9" s="52"/>
      <c r="K9" s="52"/>
      <c r="L9" s="52"/>
    </row>
    <row r="10" spans="1:36" ht="18">
      <c r="A10" s="112" t="s">
        <v>28</v>
      </c>
      <c r="B10" s="162"/>
      <c r="C10" s="162"/>
      <c r="D10" s="48">
        <f t="shared" si="0"/>
        <v>0</v>
      </c>
      <c r="E10" s="47"/>
      <c r="F10" s="52"/>
      <c r="G10" s="52"/>
      <c r="H10" s="52"/>
      <c r="I10" s="52"/>
      <c r="J10" s="52"/>
      <c r="K10" s="52"/>
      <c r="L10" s="52"/>
    </row>
    <row r="11" spans="1:36" ht="18">
      <c r="A11" s="112" t="s">
        <v>29</v>
      </c>
      <c r="B11" s="163"/>
      <c r="C11" s="163"/>
      <c r="D11" s="126">
        <f t="shared" si="0"/>
        <v>0</v>
      </c>
      <c r="E11" s="47"/>
      <c r="F11" s="52"/>
      <c r="G11" s="52"/>
      <c r="H11" s="52"/>
      <c r="I11" s="52"/>
      <c r="J11" s="52"/>
      <c r="K11" s="52"/>
      <c r="L11" s="52"/>
    </row>
    <row r="12" spans="1:36" ht="18">
      <c r="A12" s="112" t="s">
        <v>30</v>
      </c>
      <c r="B12" s="164">
        <v>208.5</v>
      </c>
      <c r="C12" s="164">
        <v>200</v>
      </c>
      <c r="D12" s="48">
        <f t="shared" si="0"/>
        <v>408.5</v>
      </c>
      <c r="E12" s="47">
        <f>SUM(B12:C12)</f>
        <v>408.5</v>
      </c>
      <c r="F12" s="52"/>
      <c r="G12" s="52"/>
      <c r="H12" s="52"/>
      <c r="I12" s="52"/>
      <c r="J12" s="52"/>
      <c r="K12" s="52"/>
      <c r="L12" s="52"/>
    </row>
    <row r="13" spans="1:36" ht="18">
      <c r="A13" s="112" t="s">
        <v>166</v>
      </c>
      <c r="B13" s="151"/>
      <c r="C13" s="151"/>
      <c r="D13" s="48">
        <f t="shared" si="0"/>
        <v>0</v>
      </c>
      <c r="E13" s="47"/>
      <c r="F13" s="52"/>
      <c r="G13" s="52"/>
      <c r="H13" s="52"/>
      <c r="I13" s="52"/>
      <c r="J13" s="52"/>
      <c r="K13" s="52"/>
      <c r="L13" s="52"/>
    </row>
    <row r="14" spans="1:36" ht="18">
      <c r="A14" s="130" t="s">
        <v>190</v>
      </c>
      <c r="B14" s="128">
        <f>'סיכום אימונים ומכירות מנויים'!C13</f>
        <v>55</v>
      </c>
      <c r="C14" s="128"/>
      <c r="D14" s="126">
        <f t="shared" ref="D14:D19" si="1">SUMIF(B14:C14,"&gt;0")</f>
        <v>55</v>
      </c>
      <c r="E14" s="47"/>
      <c r="F14" s="52"/>
      <c r="G14" s="52"/>
      <c r="H14" s="52"/>
      <c r="I14" s="52"/>
      <c r="J14" s="52"/>
      <c r="K14" s="52"/>
      <c r="L14" s="52"/>
    </row>
    <row r="15" spans="1:36" ht="18">
      <c r="A15" s="156" t="s">
        <v>192</v>
      </c>
      <c r="B15" s="161">
        <f>'סיכום אימונים ומכירות מנויים'!D13</f>
        <v>0</v>
      </c>
      <c r="C15" s="161"/>
      <c r="D15" s="126">
        <f t="shared" si="1"/>
        <v>0</v>
      </c>
      <c r="E15" s="47"/>
      <c r="F15" s="52"/>
      <c r="G15" s="52"/>
      <c r="H15" s="52"/>
      <c r="I15" s="52"/>
      <c r="J15" s="52"/>
      <c r="K15" s="52"/>
      <c r="L15" s="52"/>
    </row>
    <row r="16" spans="1:36" ht="18">
      <c r="A16" s="131" t="s">
        <v>167</v>
      </c>
      <c r="B16" s="127"/>
      <c r="C16" s="127"/>
      <c r="D16" s="126">
        <f t="shared" si="1"/>
        <v>0</v>
      </c>
      <c r="E16" s="47"/>
      <c r="F16" s="52"/>
      <c r="G16" s="52"/>
      <c r="H16" s="52"/>
      <c r="I16" s="52"/>
      <c r="J16" s="52"/>
      <c r="K16" s="52"/>
      <c r="L16" s="52"/>
    </row>
    <row r="17" spans="1:36" ht="18">
      <c r="A17" s="132" t="s">
        <v>183</v>
      </c>
      <c r="B17" s="129"/>
      <c r="C17" s="129"/>
      <c r="D17" s="126">
        <f t="shared" si="1"/>
        <v>0</v>
      </c>
      <c r="E17" s="47"/>
      <c r="F17" s="52"/>
      <c r="G17" s="52"/>
      <c r="H17" s="52"/>
      <c r="I17" s="52"/>
      <c r="J17" s="52"/>
      <c r="K17" s="52"/>
      <c r="L17" s="52"/>
    </row>
    <row r="18" spans="1:36" ht="18">
      <c r="A18" s="136" t="s">
        <v>182</v>
      </c>
      <c r="B18" s="134"/>
      <c r="C18" s="134"/>
      <c r="D18" s="126">
        <f t="shared" si="1"/>
        <v>0</v>
      </c>
      <c r="E18" s="79"/>
      <c r="F18" s="52"/>
      <c r="G18" s="52"/>
      <c r="H18" s="52"/>
      <c r="I18" s="52"/>
      <c r="J18" s="52"/>
      <c r="K18" s="52"/>
      <c r="L18" s="52"/>
    </row>
    <row r="19" spans="1:36" ht="18">
      <c r="A19" s="137" t="s">
        <v>171</v>
      </c>
      <c r="B19" s="135"/>
      <c r="C19" s="135"/>
      <c r="D19" s="126">
        <f t="shared" si="1"/>
        <v>0</v>
      </c>
      <c r="E19" s="79"/>
      <c r="F19" s="52"/>
      <c r="G19" s="52"/>
      <c r="H19" s="52"/>
      <c r="I19" s="52"/>
      <c r="J19" s="52"/>
      <c r="K19" s="52"/>
      <c r="L19" s="52"/>
    </row>
    <row r="20" spans="1:36" ht="18">
      <c r="A20" s="112" t="s">
        <v>177</v>
      </c>
      <c r="B20" s="158"/>
      <c r="C20" s="158"/>
      <c r="D20" s="48"/>
      <c r="E20" s="47">
        <f>SUM(B20:C20)</f>
        <v>0</v>
      </c>
      <c r="F20" s="52"/>
      <c r="G20" s="52"/>
      <c r="H20" s="52"/>
      <c r="I20" s="52"/>
      <c r="J20" s="52"/>
      <c r="K20" s="52"/>
      <c r="L20" s="52"/>
    </row>
    <row r="21" spans="1:36" ht="18">
      <c r="A21" s="112" t="s">
        <v>215</v>
      </c>
      <c r="B21" s="158"/>
      <c r="C21" s="174">
        <f>C6*$E$32</f>
        <v>5862.5</v>
      </c>
      <c r="D21" s="48"/>
      <c r="E21" s="47">
        <f>SUM(B21:C21)</f>
        <v>5862.5</v>
      </c>
      <c r="F21" s="52"/>
      <c r="G21" s="52"/>
      <c r="H21" s="52"/>
      <c r="I21" s="52"/>
      <c r="J21" s="52"/>
      <c r="K21" s="52"/>
      <c r="L21" s="52"/>
    </row>
    <row r="22" spans="1:36" ht="18">
      <c r="A22" s="112" t="s">
        <v>178</v>
      </c>
      <c r="B22" s="158"/>
      <c r="C22" s="174"/>
      <c r="D22" s="48"/>
      <c r="E22" s="47">
        <f>SUM(B22:C22)</f>
        <v>0</v>
      </c>
      <c r="F22" s="52"/>
      <c r="G22" s="52"/>
      <c r="H22" s="52"/>
      <c r="I22" s="52"/>
      <c r="J22" s="52"/>
      <c r="K22" s="52"/>
      <c r="L22" s="52"/>
    </row>
    <row r="23" spans="1:36" ht="18">
      <c r="A23" s="112" t="s">
        <v>189</v>
      </c>
      <c r="B23" s="158">
        <f>B14*$I$32</f>
        <v>10175</v>
      </c>
      <c r="C23" s="158"/>
      <c r="D23" s="48"/>
      <c r="E23" s="47">
        <f>SUM(B23:C23)</f>
        <v>10175</v>
      </c>
      <c r="F23" s="44"/>
      <c r="G23" s="44"/>
      <c r="H23" s="44"/>
      <c r="I23" s="44"/>
      <c r="J23" s="44"/>
      <c r="K23" s="44"/>
      <c r="L23" s="52"/>
    </row>
    <row r="24" spans="1:36" ht="18">
      <c r="A24" s="112" t="s">
        <v>191</v>
      </c>
      <c r="B24" s="158">
        <f>B15*$I$32</f>
        <v>0</v>
      </c>
      <c r="C24" s="158"/>
      <c r="D24" s="48"/>
      <c r="E24" s="47">
        <f>SUM(B24:C24)</f>
        <v>0</v>
      </c>
      <c r="F24" s="44"/>
      <c r="G24" s="44"/>
      <c r="H24" s="44"/>
      <c r="I24" s="44"/>
      <c r="J24" s="44"/>
      <c r="K24" s="44"/>
      <c r="L24" s="52"/>
    </row>
    <row r="25" spans="1:36" ht="18">
      <c r="B25" s="207">
        <f>SUM(B20:B24)+B12</f>
        <v>10383.5</v>
      </c>
      <c r="C25" s="207">
        <f>SUM(C20:C24)+C12</f>
        <v>6062.5</v>
      </c>
      <c r="D25" s="207"/>
      <c r="E25" s="115"/>
      <c r="F25" s="44"/>
      <c r="G25" s="44"/>
      <c r="H25" s="44"/>
      <c r="I25" s="44"/>
      <c r="J25" s="44"/>
      <c r="K25" s="44"/>
      <c r="L25" s="52"/>
    </row>
    <row r="26" spans="1:36" ht="18">
      <c r="A26" s="50" t="s">
        <v>243</v>
      </c>
      <c r="B26" s="236">
        <f>'סיכום אימונים ומכירות מנויים'!N23</f>
        <v>16.200000000000003</v>
      </c>
      <c r="C26" s="236">
        <f>'סיכום אימונים ומכירות מנויים'!N26</f>
        <v>3045.6000000000004</v>
      </c>
      <c r="D26" s="115"/>
      <c r="E26" s="44"/>
      <c r="F26" s="44"/>
      <c r="G26" s="44"/>
      <c r="H26" s="44"/>
      <c r="I26" s="44"/>
      <c r="J26" s="44"/>
      <c r="K26" s="52"/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1:36">
      <c r="A27" s="50" t="s">
        <v>4</v>
      </c>
      <c r="B27" s="108">
        <f>SUM(B25:B26)</f>
        <v>10399.700000000001</v>
      </c>
      <c r="C27" s="108">
        <f>SUM(C25:C26)</f>
        <v>9108.1</v>
      </c>
      <c r="D27" s="44"/>
      <c r="E27" s="108"/>
      <c r="F27" s="108"/>
      <c r="G27" s="108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</row>
    <row r="28" spans="1:36">
      <c r="B28" s="184"/>
      <c r="C28" s="184"/>
      <c r="D28" s="184"/>
      <c r="E28" s="44"/>
      <c r="F28" s="142"/>
      <c r="G28" s="108"/>
      <c r="H28" s="108"/>
      <c r="I28" s="108"/>
      <c r="J28" s="108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</row>
    <row r="29" spans="1:36" ht="15.75">
      <c r="A29" s="189"/>
      <c r="B29" s="115"/>
      <c r="C29" s="115"/>
      <c r="D29" s="115"/>
      <c r="E29" s="44"/>
      <c r="F29" s="108"/>
      <c r="G29" s="108"/>
      <c r="H29" s="108"/>
      <c r="I29" s="108"/>
      <c r="J29" s="108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</row>
    <row r="30" spans="1:36" ht="15" thickBot="1">
      <c r="A30" s="44"/>
      <c r="B30" s="109"/>
      <c r="C30" s="44"/>
      <c r="D30" s="44"/>
      <c r="E30" s="44"/>
      <c r="F30" s="44"/>
      <c r="G30" s="108"/>
      <c r="H30" s="108"/>
      <c r="I30" s="44"/>
      <c r="J30" s="44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Y30" s="46"/>
      <c r="Z30" s="46"/>
      <c r="AA30" s="44"/>
      <c r="AB30" s="44"/>
      <c r="AC30" s="44"/>
      <c r="AD30" s="44"/>
      <c r="AE30" s="44"/>
      <c r="AF30" s="44"/>
      <c r="AG30" s="44"/>
      <c r="AH30" s="44"/>
      <c r="AI30" s="44"/>
    </row>
    <row r="31" spans="1:36" ht="26.25" thickBot="1">
      <c r="A31" s="64" t="s">
        <v>218</v>
      </c>
      <c r="B31" s="65" t="s">
        <v>31</v>
      </c>
      <c r="C31" s="65" t="s">
        <v>153</v>
      </c>
      <c r="D31" s="65" t="s">
        <v>32</v>
      </c>
      <c r="E31" s="66" t="s">
        <v>33</v>
      </c>
      <c r="F31" s="46"/>
      <c r="G31" s="46"/>
      <c r="H31" s="138" t="s">
        <v>175</v>
      </c>
      <c r="I31" s="138" t="s">
        <v>198</v>
      </c>
      <c r="J31" s="138" t="s">
        <v>213</v>
      </c>
      <c r="K31" s="138" t="s">
        <v>219</v>
      </c>
      <c r="L31" s="46"/>
      <c r="M31" s="46"/>
      <c r="N31" s="44"/>
      <c r="O31" s="44"/>
      <c r="P31" s="44"/>
      <c r="Q31" s="44"/>
      <c r="R31" s="44"/>
      <c r="S31" s="44"/>
      <c r="T31" s="44"/>
      <c r="U31" s="44"/>
      <c r="V31" s="44"/>
    </row>
    <row r="32" spans="1:36" ht="16.5" thickBot="1">
      <c r="A32" s="60">
        <v>1</v>
      </c>
      <c r="B32" s="61">
        <v>40</v>
      </c>
      <c r="C32" s="62">
        <f>B32*1.3</f>
        <v>52</v>
      </c>
      <c r="D32" s="63">
        <f>C32</f>
        <v>52</v>
      </c>
      <c r="E32" s="95">
        <v>70</v>
      </c>
      <c r="F32" s="46"/>
      <c r="G32" s="46"/>
      <c r="H32" s="178">
        <v>170</v>
      </c>
      <c r="I32" s="178">
        <v>185</v>
      </c>
      <c r="J32" s="178">
        <v>150</v>
      </c>
      <c r="K32" s="178">
        <v>200</v>
      </c>
      <c r="L32" s="179" t="s">
        <v>172</v>
      </c>
      <c r="M32" s="46"/>
      <c r="N32" s="44"/>
      <c r="O32" s="44"/>
      <c r="P32" s="44"/>
      <c r="Q32" s="44"/>
      <c r="R32" s="44"/>
      <c r="S32" s="44"/>
      <c r="T32" s="44"/>
      <c r="U32" s="44"/>
      <c r="V32" s="44"/>
    </row>
    <row r="33" spans="1:33" ht="16.5" thickBot="1">
      <c r="A33" s="53">
        <v>1.25</v>
      </c>
      <c r="B33" s="54">
        <f>$B$32*A33</f>
        <v>50</v>
      </c>
      <c r="C33" s="55">
        <f>B33*1.33</f>
        <v>66.5</v>
      </c>
      <c r="D33" s="56">
        <f>+C33</f>
        <v>66.5</v>
      </c>
      <c r="E33" s="57">
        <f>$E$32*0.25</f>
        <v>17.5</v>
      </c>
      <c r="F33" s="46"/>
      <c r="G33" s="46"/>
      <c r="H33" s="180"/>
      <c r="J33" s="181"/>
      <c r="K33" s="181"/>
      <c r="M33" s="46"/>
      <c r="N33" s="44"/>
      <c r="O33" s="44"/>
      <c r="P33" s="44"/>
      <c r="Q33" s="44"/>
      <c r="R33" s="44"/>
      <c r="S33" s="44"/>
      <c r="T33" s="44"/>
      <c r="U33" s="44"/>
      <c r="V33" s="44"/>
    </row>
    <row r="34" spans="1:33" ht="16.5" thickBot="1">
      <c r="A34" s="53">
        <v>1.5</v>
      </c>
      <c r="B34" s="54">
        <f>$B$32*A34</f>
        <v>60</v>
      </c>
      <c r="C34" s="55">
        <f>B34*1.33</f>
        <v>79.800000000000011</v>
      </c>
      <c r="D34" s="56">
        <f>+C34</f>
        <v>79.800000000000011</v>
      </c>
      <c r="E34" s="57">
        <f>$E$32*0.5</f>
        <v>35</v>
      </c>
      <c r="F34" s="46"/>
      <c r="G34" s="46"/>
      <c r="H34" s="180"/>
      <c r="J34" s="182"/>
      <c r="K34" s="181"/>
      <c r="M34" s="46"/>
      <c r="N34" s="46"/>
      <c r="O34" s="46"/>
      <c r="P34" s="46"/>
      <c r="Q34" s="44"/>
      <c r="R34" s="44"/>
      <c r="S34" s="44"/>
      <c r="T34" s="44"/>
    </row>
    <row r="35" spans="1:33" ht="16.5" thickBot="1">
      <c r="A35" s="53">
        <v>1.75</v>
      </c>
      <c r="B35" s="54">
        <f>$B$32*A35</f>
        <v>70</v>
      </c>
      <c r="C35" s="55">
        <f>B35*1.33</f>
        <v>93.100000000000009</v>
      </c>
      <c r="D35" s="56">
        <f>+C35</f>
        <v>93.100000000000009</v>
      </c>
      <c r="E35" s="57">
        <f>$E$32*0.75</f>
        <v>52.5</v>
      </c>
      <c r="F35" s="46"/>
      <c r="G35" s="46"/>
      <c r="H35" s="180"/>
      <c r="I35" s="180"/>
      <c r="J35" s="180"/>
      <c r="K35" s="180"/>
      <c r="L35" s="180"/>
      <c r="N35" s="46"/>
      <c r="O35" s="46"/>
      <c r="P35" s="46"/>
      <c r="Q35" s="46"/>
      <c r="R35" s="46"/>
      <c r="S35" s="44"/>
      <c r="T35" s="44"/>
      <c r="U35" s="44"/>
      <c r="V35" s="44"/>
    </row>
    <row r="36" spans="1:33" ht="16.5" thickBot="1">
      <c r="A36" s="53">
        <v>2</v>
      </c>
      <c r="B36" s="54">
        <f>$B$32*A36</f>
        <v>80</v>
      </c>
      <c r="C36" s="55">
        <f>B36*1.33</f>
        <v>106.4</v>
      </c>
      <c r="D36" s="56">
        <f>+C36</f>
        <v>106.4</v>
      </c>
      <c r="E36" s="57">
        <f>$E$32*1</f>
        <v>70</v>
      </c>
      <c r="F36" s="46"/>
      <c r="G36" s="46"/>
      <c r="N36" s="46"/>
      <c r="O36" s="46"/>
      <c r="P36" s="46"/>
      <c r="Q36" s="46"/>
      <c r="R36" s="46"/>
      <c r="S36" s="44"/>
      <c r="T36" s="44"/>
      <c r="U36" s="44"/>
      <c r="V36" s="44"/>
    </row>
    <row r="37" spans="1:33">
      <c r="A37" s="44"/>
      <c r="B37" s="44"/>
      <c r="C37" s="44"/>
      <c r="D37" s="44"/>
      <c r="E37" s="44"/>
      <c r="F37" s="46"/>
      <c r="G37" s="46"/>
      <c r="I37" s="50" t="s">
        <v>230</v>
      </c>
      <c r="N37" s="46"/>
      <c r="O37" s="46"/>
      <c r="P37" s="46"/>
      <c r="Q37" s="46"/>
      <c r="R37" s="46"/>
      <c r="S37" s="46"/>
      <c r="T37" s="46"/>
      <c r="U37" s="44"/>
      <c r="V37" s="44"/>
      <c r="W37" s="44"/>
      <c r="X37" s="44"/>
    </row>
    <row r="38" spans="1:33" ht="15">
      <c r="B38" s="58"/>
      <c r="C38" s="58"/>
      <c r="D38" s="44"/>
      <c r="E38" s="44"/>
      <c r="F38" s="44"/>
      <c r="G38" s="44"/>
      <c r="H38" s="141">
        <v>120</v>
      </c>
      <c r="I38" s="141">
        <v>140</v>
      </c>
      <c r="J38" s="141"/>
      <c r="K38" s="141"/>
      <c r="L38" s="140" t="s">
        <v>174</v>
      </c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 spans="1:33" ht="15">
      <c r="A39" s="58"/>
      <c r="B39" s="58"/>
      <c r="C39" s="58"/>
      <c r="D39" s="44"/>
      <c r="E39" s="44"/>
      <c r="F39" s="44"/>
      <c r="G39" s="44"/>
      <c r="H39" s="46">
        <f>H38*1.3</f>
        <v>156</v>
      </c>
      <c r="I39" s="46">
        <f>I38*1.3</f>
        <v>182</v>
      </c>
      <c r="J39" s="46"/>
      <c r="L39" s="46" t="s">
        <v>176</v>
      </c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</row>
    <row r="40" spans="1:33" ht="15">
      <c r="A40" s="58"/>
      <c r="B40" s="58"/>
      <c r="C40" s="58"/>
      <c r="D40" s="44"/>
      <c r="E40" s="44"/>
      <c r="F40" s="44"/>
      <c r="G40" s="44"/>
      <c r="H40" s="44"/>
      <c r="I40" s="44"/>
      <c r="J40" s="44"/>
      <c r="M40" s="44"/>
      <c r="N40" s="44"/>
      <c r="O40" s="44"/>
      <c r="P40" s="46"/>
      <c r="Q40" s="44"/>
      <c r="R40" s="44"/>
      <c r="S40" s="44"/>
      <c r="T40" s="44"/>
      <c r="U40" s="44"/>
      <c r="V40" s="44"/>
      <c r="W40" s="44"/>
      <c r="X40" s="44"/>
    </row>
    <row r="41" spans="1:33" ht="15">
      <c r="A41" s="58"/>
      <c r="B41" s="58"/>
      <c r="C41" s="58"/>
      <c r="D41" s="44"/>
      <c r="E41" s="44"/>
      <c r="G41" s="46"/>
      <c r="H41" s="44"/>
      <c r="I41" s="44"/>
      <c r="J41" s="44"/>
      <c r="K41" s="142"/>
      <c r="L41" s="46"/>
      <c r="M41" s="46"/>
      <c r="N41" s="46"/>
      <c r="O41" s="46"/>
      <c r="P41" s="46"/>
      <c r="Q41" s="46"/>
      <c r="R41" s="44"/>
      <c r="S41" s="44"/>
      <c r="T41" s="44"/>
      <c r="U41" s="44"/>
      <c r="V41" s="44"/>
      <c r="W41" s="44"/>
      <c r="X41" s="44"/>
      <c r="Y41" s="44"/>
    </row>
    <row r="42" spans="1:33" ht="29.25" customHeight="1">
      <c r="A42" s="58"/>
      <c r="B42" s="58"/>
      <c r="C42" s="194"/>
      <c r="D42" s="44"/>
      <c r="E42" s="46"/>
      <c r="G42" s="46"/>
      <c r="H42" s="44"/>
      <c r="I42" s="44"/>
      <c r="J42" s="44"/>
      <c r="K42" s="44"/>
      <c r="L42" s="44"/>
      <c r="M42" s="44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</row>
    <row r="43" spans="1:33" ht="24" customHeight="1">
      <c r="A43" s="58"/>
      <c r="B43" s="58"/>
      <c r="C43" s="58"/>
      <c r="D43" s="44"/>
      <c r="E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</row>
    <row r="44" spans="1:33" ht="30" customHeight="1" thickBot="1">
      <c r="A44" s="59"/>
      <c r="B44" s="44"/>
      <c r="C44" s="108"/>
      <c r="D44" s="44"/>
      <c r="E44" s="46"/>
      <c r="G44" s="46"/>
      <c r="H44" s="46"/>
      <c r="I44" s="46"/>
      <c r="J44" s="143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</row>
    <row r="45" spans="1:33" ht="24" customHeight="1" thickBot="1">
      <c r="A45" s="59"/>
      <c r="B45" s="233"/>
      <c r="C45" s="234"/>
      <c r="D45" s="235"/>
      <c r="E45" s="46"/>
      <c r="G45" s="46"/>
      <c r="H45" s="46"/>
      <c r="I45" s="46"/>
      <c r="J45" s="143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</row>
    <row r="46" spans="1:33" ht="24" customHeight="1" thickBot="1">
      <c r="A46" s="59"/>
      <c r="B46" s="92" t="s">
        <v>141</v>
      </c>
      <c r="C46" s="93" t="s">
        <v>142</v>
      </c>
      <c r="D46" s="193" t="s">
        <v>143</v>
      </c>
      <c r="E46" s="46"/>
      <c r="H46" s="185" t="s">
        <v>34</v>
      </c>
      <c r="I46" s="186"/>
      <c r="J46" s="186"/>
      <c r="K46" s="186"/>
      <c r="L46" s="187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</row>
    <row r="47" spans="1:33" ht="24" customHeight="1">
      <c r="A47" s="59"/>
      <c r="B47" s="91" t="s">
        <v>186</v>
      </c>
      <c r="C47" s="155" t="s">
        <v>185</v>
      </c>
      <c r="D47" s="227">
        <f>'סיכום אימונים ומכירות מנויים'!N27</f>
        <v>3061.8</v>
      </c>
      <c r="E47" s="46"/>
      <c r="H47" s="144" t="s">
        <v>169</v>
      </c>
      <c r="I47" s="145"/>
      <c r="J47" s="145"/>
      <c r="K47" s="146">
        <v>142</v>
      </c>
      <c r="L47" s="147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</row>
    <row r="48" spans="1:33" ht="31.5" customHeight="1">
      <c r="A48" s="80"/>
      <c r="B48" s="91" t="s">
        <v>186</v>
      </c>
      <c r="C48" s="155" t="s">
        <v>221</v>
      </c>
      <c r="D48" s="228">
        <v>0</v>
      </c>
      <c r="E48" s="46"/>
      <c r="H48" s="116" t="s">
        <v>228</v>
      </c>
      <c r="I48" s="139"/>
      <c r="J48" s="139"/>
      <c r="K48" s="133">
        <f>'סיכום אימונים ומכירות מנויים'!C15</f>
        <v>55</v>
      </c>
      <c r="L48" s="69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</row>
    <row r="49" spans="1:33" ht="24" customHeight="1">
      <c r="A49" s="80"/>
      <c r="B49" s="91" t="s">
        <v>188</v>
      </c>
      <c r="C49" s="155" t="s">
        <v>225</v>
      </c>
      <c r="D49" s="227">
        <f>E21+C12</f>
        <v>6062.5</v>
      </c>
      <c r="E49" s="46"/>
      <c r="H49" s="116" t="s">
        <v>197</v>
      </c>
      <c r="I49" s="154"/>
      <c r="J49" s="154"/>
      <c r="K49" s="133">
        <f>'סיכום אימונים ומכירות מנויים'!E15</f>
        <v>87</v>
      </c>
      <c r="L49" s="148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</row>
    <row r="50" spans="1:33" ht="30" customHeight="1">
      <c r="A50" s="80"/>
      <c r="B50" s="91" t="s">
        <v>188</v>
      </c>
      <c r="C50" s="155" t="s">
        <v>220</v>
      </c>
      <c r="D50" s="229">
        <f>'סיכום אימונים ומכירות מנויים'!E11*$E$32</f>
        <v>0</v>
      </c>
      <c r="E50" s="46"/>
      <c r="H50" s="116" t="s">
        <v>168</v>
      </c>
      <c r="I50" s="154"/>
      <c r="J50" s="154"/>
      <c r="K50" s="133">
        <f>'סיכום אימונים ומכירות מנויים'!D13</f>
        <v>0</v>
      </c>
      <c r="L50" s="69"/>
      <c r="M50" s="46"/>
      <c r="N50" s="46"/>
      <c r="O50" s="46"/>
      <c r="P50" s="46"/>
      <c r="Q50" s="46"/>
      <c r="R50" s="46"/>
      <c r="S50" s="143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</row>
    <row r="51" spans="1:33" ht="28.5" customHeight="1">
      <c r="A51" s="80"/>
      <c r="B51" s="91" t="s">
        <v>199</v>
      </c>
      <c r="C51" s="155" t="s">
        <v>217</v>
      </c>
      <c r="D51" s="229">
        <v>2000</v>
      </c>
      <c r="H51" s="68" t="s">
        <v>35</v>
      </c>
      <c r="I51" s="140"/>
      <c r="J51" s="140"/>
      <c r="K51" s="67">
        <f>SUM(K48:K50)</f>
        <v>142</v>
      </c>
      <c r="L51" s="69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</row>
    <row r="52" spans="1:33" ht="29.25" customHeight="1">
      <c r="A52" s="80"/>
      <c r="B52" s="91" t="s">
        <v>187</v>
      </c>
      <c r="C52" s="155" t="s">
        <v>202</v>
      </c>
      <c r="D52" s="230">
        <f>E23+B12</f>
        <v>10383.5</v>
      </c>
      <c r="E52" s="110"/>
      <c r="F52" s="110"/>
      <c r="H52" s="116" t="s">
        <v>163</v>
      </c>
      <c r="I52" s="140"/>
      <c r="J52" s="140"/>
      <c r="K52" s="67">
        <f>K47-K51</f>
        <v>0</v>
      </c>
      <c r="L52" s="222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</row>
    <row r="53" spans="1:33" ht="27.75" customHeight="1">
      <c r="A53" s="80"/>
      <c r="B53" s="91" t="s">
        <v>187</v>
      </c>
      <c r="C53" s="155" t="s">
        <v>206</v>
      </c>
      <c r="D53" s="229">
        <f>SUM('סיכום אימונים ומכירות מנויים'!C3:C10)*'דוח מרכז לאישור מנהל'!$I$32+SUM('סיכום אימונים ומכירות מנויים'!F3:F10)*'דוח מרכז לאישור מנהל'!$K$32</f>
        <v>10545</v>
      </c>
      <c r="E53" s="152"/>
      <c r="K53" s="44"/>
      <c r="L53" s="117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</row>
    <row r="54" spans="1:33" ht="27.75" customHeight="1">
      <c r="A54" s="80"/>
      <c r="B54" s="91" t="s">
        <v>204</v>
      </c>
      <c r="C54" s="155" t="s">
        <v>226</v>
      </c>
      <c r="D54" s="230">
        <f>'סיכום אימונים ומכירות מנויים'!$D$13*'דוח מרכז לאישור מנהל'!I32</f>
        <v>0</v>
      </c>
      <c r="E54" s="46"/>
      <c r="K54" s="44"/>
      <c r="L54" s="117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</row>
    <row r="55" spans="1:33" ht="27.75" customHeight="1">
      <c r="A55" s="80"/>
      <c r="B55" s="91" t="s">
        <v>204</v>
      </c>
      <c r="C55" s="155" t="s">
        <v>207</v>
      </c>
      <c r="D55" s="229">
        <f>SUM('סיכום אימונים ומכירות מנויים'!D3:D10)*'דוח מרכז לאישור מנהל'!$I$32</f>
        <v>0</v>
      </c>
      <c r="E55" s="46"/>
      <c r="K55" s="171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</row>
    <row r="56" spans="1:33" ht="27.75" customHeight="1" thickBot="1">
      <c r="A56" s="80"/>
      <c r="B56" s="191" t="s">
        <v>222</v>
      </c>
      <c r="C56" s="190" t="s">
        <v>224</v>
      </c>
      <c r="D56" s="196"/>
      <c r="E56" s="46"/>
      <c r="J56" s="224"/>
      <c r="K56" s="225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</row>
    <row r="57" spans="1:33" ht="27.75" customHeight="1" thickBot="1">
      <c r="A57" s="80"/>
      <c r="E57" s="46"/>
      <c r="F57" s="208">
        <f>D51+D53+D55+D48+D50+D56</f>
        <v>12545</v>
      </c>
      <c r="J57" s="224"/>
      <c r="K57" s="22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</row>
    <row r="58" spans="1:33" ht="27.75" customHeight="1" thickBot="1">
      <c r="A58" s="80"/>
      <c r="B58" s="46"/>
      <c r="C58" s="94" t="s">
        <v>196</v>
      </c>
      <c r="D58" s="183">
        <f>SUM(D47:D56)</f>
        <v>32052.799999999999</v>
      </c>
      <c r="E58" s="46"/>
      <c r="F58" s="110">
        <f>D47+D52+D54+D49</f>
        <v>19507.8</v>
      </c>
      <c r="K58" s="107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</row>
    <row r="59" spans="1:33" ht="27.75" customHeight="1">
      <c r="A59" s="80"/>
      <c r="B59" s="46"/>
      <c r="C59" s="46"/>
      <c r="D59" s="46"/>
      <c r="E59" s="46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4"/>
      <c r="Z59" s="44"/>
      <c r="AA59" s="44"/>
      <c r="AB59" s="44"/>
      <c r="AC59" s="44"/>
      <c r="AD59" s="44"/>
      <c r="AE59" s="44"/>
      <c r="AF59" s="44"/>
      <c r="AG59" s="44"/>
    </row>
    <row r="60" spans="1:33" ht="27.75" customHeight="1">
      <c r="A60" s="44"/>
      <c r="B60" s="46"/>
      <c r="C60" s="44"/>
      <c r="D60" s="44"/>
      <c r="E60" s="46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</row>
    <row r="61" spans="1:33" ht="27.75" customHeight="1">
      <c r="A61" s="44"/>
      <c r="B61" s="46"/>
      <c r="C61" s="44"/>
      <c r="D61" s="44"/>
      <c r="E61" s="46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</row>
    <row r="62" spans="1:33" ht="27.75" customHeight="1">
      <c r="A62" s="46"/>
      <c r="E62" s="46"/>
    </row>
    <row r="63" spans="1:33" ht="27.75" customHeight="1">
      <c r="E63" s="46"/>
    </row>
    <row r="64" spans="1:33" ht="27.75" customHeight="1">
      <c r="E64" s="44"/>
    </row>
    <row r="65" spans="5:5" ht="27.75" customHeight="1">
      <c r="E65" s="44"/>
    </row>
    <row r="66" spans="5:5" ht="27.75" customHeight="1">
      <c r="E66" s="44"/>
    </row>
    <row r="67" spans="5:5" ht="27.75" customHeight="1">
      <c r="E67" s="44"/>
    </row>
    <row r="68" spans="5:5" ht="15" customHeight="1"/>
  </sheetData>
  <mergeCells count="2">
    <mergeCell ref="A1:F1"/>
    <mergeCell ref="A2:F2"/>
  </mergeCells>
  <pageMargins left="0.70866141732283472" right="0.70866141732283472" top="0.74803149606299213" bottom="0.74803149606299213" header="0.31496062992125984" footer="0.31496062992125984"/>
  <pageSetup scale="93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FF99"/>
  </sheetPr>
  <dimension ref="A1:O28"/>
  <sheetViews>
    <sheetView rightToLeft="1" zoomScale="80" zoomScaleNormal="80" workbookViewId="0">
      <selection activeCell="N27" sqref="N27"/>
    </sheetView>
  </sheetViews>
  <sheetFormatPr defaultColWidth="9" defaultRowHeight="14.25"/>
  <cols>
    <col min="1" max="1" width="14.125" style="50" bestFit="1" customWidth="1"/>
    <col min="2" max="2" width="15.625" style="50" customWidth="1"/>
    <col min="3" max="3" width="14.125" style="50" customWidth="1"/>
    <col min="4" max="5" width="15.125" style="50" customWidth="1"/>
    <col min="6" max="6" width="14.125" style="50" customWidth="1"/>
    <col min="7" max="7" width="12" style="50" customWidth="1"/>
    <col min="8" max="8" width="12.125" style="50" customWidth="1"/>
    <col min="9" max="9" width="10.625" style="50" customWidth="1"/>
    <col min="10" max="10" width="18.625" style="50" bestFit="1" customWidth="1"/>
    <col min="11" max="11" width="13.625" style="50" customWidth="1"/>
    <col min="12" max="14" width="11.625" style="50" customWidth="1"/>
    <col min="15" max="15" width="10" style="50" customWidth="1"/>
    <col min="16" max="16" width="13" style="50" customWidth="1"/>
    <col min="17" max="17" width="14.125" style="50" customWidth="1"/>
    <col min="18" max="18" width="12.625" style="50" customWidth="1"/>
    <col min="19" max="19" width="11.625" style="50" customWidth="1"/>
    <col min="20" max="20" width="12.125" style="50" customWidth="1"/>
    <col min="21" max="21" width="21.625" style="50" customWidth="1"/>
    <col min="22" max="22" width="9" style="50"/>
    <col min="23" max="23" width="23" style="50" customWidth="1"/>
    <col min="24" max="24" width="26.125" style="50" bestFit="1" customWidth="1"/>
    <col min="25" max="16384" width="9" style="50"/>
  </cols>
  <sheetData>
    <row r="1" spans="1:14" ht="29.25" customHeight="1" thickBot="1">
      <c r="B1" s="169" t="s">
        <v>193</v>
      </c>
      <c r="C1" s="169"/>
      <c r="D1" s="169"/>
      <c r="E1" s="169"/>
      <c r="G1" s="169"/>
      <c r="H1" s="169"/>
      <c r="I1" s="169"/>
      <c r="J1" s="169"/>
      <c r="K1" s="169"/>
      <c r="L1" s="168"/>
      <c r="M1" s="168"/>
      <c r="N1" s="169"/>
    </row>
    <row r="2" spans="1:14" ht="45.75" customHeight="1" thickBot="1">
      <c r="B2" s="118" t="s">
        <v>66</v>
      </c>
      <c r="C2" s="119" t="s">
        <v>193</v>
      </c>
      <c r="D2" s="119" t="s">
        <v>194</v>
      </c>
      <c r="E2" s="119" t="s">
        <v>227</v>
      </c>
      <c r="F2" s="120" t="s">
        <v>170</v>
      </c>
      <c r="G2" s="169"/>
      <c r="H2" s="169"/>
      <c r="I2" s="169"/>
      <c r="J2" s="150" t="s">
        <v>179</v>
      </c>
      <c r="K2" s="150" t="s">
        <v>181</v>
      </c>
      <c r="L2" s="168"/>
      <c r="M2" s="168"/>
      <c r="N2" s="169"/>
    </row>
    <row r="3" spans="1:14" s="170" customFormat="1" ht="18">
      <c r="B3" s="188" t="s">
        <v>232</v>
      </c>
      <c r="C3" s="232">
        <v>15</v>
      </c>
      <c r="D3" s="237"/>
      <c r="E3" s="238"/>
      <c r="F3" s="238"/>
      <c r="G3" s="239"/>
      <c r="H3" s="239"/>
      <c r="I3" s="239"/>
      <c r="J3" s="237" t="s">
        <v>237</v>
      </c>
      <c r="K3" s="243">
        <v>120</v>
      </c>
      <c r="L3" s="240"/>
      <c r="M3" s="241"/>
      <c r="N3" s="239"/>
    </row>
    <row r="4" spans="1:14" s="170" customFormat="1" ht="18">
      <c r="B4" s="188" t="s">
        <v>233</v>
      </c>
      <c r="C4" s="232"/>
      <c r="D4" s="242"/>
      <c r="E4" s="238"/>
      <c r="F4" s="238"/>
      <c r="G4" s="239"/>
      <c r="H4" s="239"/>
      <c r="I4" s="239"/>
      <c r="J4" s="237" t="s">
        <v>231</v>
      </c>
      <c r="K4" s="238">
        <v>150</v>
      </c>
      <c r="L4" s="240"/>
      <c r="M4" s="241"/>
      <c r="N4" s="239"/>
    </row>
    <row r="5" spans="1:14" s="170" customFormat="1" ht="18">
      <c r="B5" s="188" t="s">
        <v>237</v>
      </c>
      <c r="C5" s="232">
        <v>12</v>
      </c>
      <c r="D5" s="242"/>
      <c r="E5" s="238"/>
      <c r="F5" s="238"/>
      <c r="G5" s="239"/>
      <c r="H5" s="239"/>
      <c r="I5" s="239"/>
      <c r="J5" s="237" t="s">
        <v>234</v>
      </c>
      <c r="K5" s="243">
        <v>120</v>
      </c>
      <c r="L5" s="240"/>
      <c r="M5" s="241"/>
      <c r="N5" s="239"/>
    </row>
    <row r="6" spans="1:14" s="170" customFormat="1" ht="18">
      <c r="B6" s="188" t="s">
        <v>240</v>
      </c>
      <c r="C6" s="232"/>
      <c r="D6" s="242"/>
      <c r="E6" s="238"/>
      <c r="F6" s="238"/>
      <c r="G6" s="239"/>
      <c r="H6" s="239"/>
      <c r="I6" s="239"/>
      <c r="J6" s="237" t="s">
        <v>236</v>
      </c>
      <c r="K6" s="238">
        <v>140</v>
      </c>
      <c r="L6" s="240"/>
      <c r="M6" s="241"/>
      <c r="N6" s="239"/>
    </row>
    <row r="7" spans="1:14" s="170" customFormat="1" ht="18">
      <c r="B7" s="188" t="s">
        <v>231</v>
      </c>
      <c r="C7" s="232">
        <v>16</v>
      </c>
      <c r="D7" s="242"/>
      <c r="E7" s="238"/>
      <c r="F7" s="238"/>
      <c r="G7" s="239"/>
      <c r="H7" s="239"/>
      <c r="I7" s="239"/>
      <c r="J7" s="237" t="s">
        <v>232</v>
      </c>
      <c r="K7" s="238">
        <v>140</v>
      </c>
      <c r="L7" s="240"/>
      <c r="M7" s="241"/>
      <c r="N7" s="239"/>
    </row>
    <row r="8" spans="1:14" s="170" customFormat="1" ht="18">
      <c r="B8" s="188" t="s">
        <v>242</v>
      </c>
      <c r="C8" s="232">
        <v>12</v>
      </c>
      <c r="D8" s="242"/>
      <c r="E8" s="238"/>
      <c r="F8" s="238"/>
      <c r="G8" s="239"/>
      <c r="H8" s="239"/>
      <c r="I8" s="239"/>
      <c r="J8" s="237" t="s">
        <v>238</v>
      </c>
      <c r="K8" s="238">
        <v>160</v>
      </c>
      <c r="L8" s="240"/>
      <c r="M8" s="241"/>
      <c r="N8" s="239"/>
    </row>
    <row r="9" spans="1:14" s="170" customFormat="1" ht="18">
      <c r="B9" s="188" t="s">
        <v>234</v>
      </c>
      <c r="C9" s="232">
        <v>2</v>
      </c>
      <c r="D9" s="242"/>
      <c r="E9" s="238"/>
      <c r="F9" s="238"/>
      <c r="G9" s="239"/>
      <c r="H9" s="239"/>
      <c r="I9" s="239"/>
      <c r="J9" s="237" t="s">
        <v>239</v>
      </c>
      <c r="K9" s="238">
        <v>160</v>
      </c>
      <c r="L9" s="240"/>
      <c r="M9" s="241"/>
      <c r="N9" s="239"/>
    </row>
    <row r="10" spans="1:14" s="170" customFormat="1" ht="18">
      <c r="B10" s="188" t="s">
        <v>235</v>
      </c>
      <c r="C10" s="232"/>
      <c r="D10" s="242"/>
      <c r="E10" s="238"/>
      <c r="F10" s="238"/>
      <c r="G10" s="239"/>
      <c r="H10" s="239"/>
      <c r="I10" s="239"/>
      <c r="J10" s="237" t="s">
        <v>240</v>
      </c>
      <c r="K10" s="238">
        <v>150</v>
      </c>
      <c r="L10" s="240"/>
      <c r="M10" s="241"/>
      <c r="N10" s="239"/>
    </row>
    <row r="11" spans="1:14" s="149" customFormat="1" ht="18.75" thickBot="1">
      <c r="B11" s="203" t="s">
        <v>214</v>
      </c>
      <c r="C11" s="199">
        <f>SUM(C3:C10)</f>
        <v>57</v>
      </c>
      <c r="D11" s="199">
        <f>SUM(D3:D10)</f>
        <v>0</v>
      </c>
      <c r="E11" s="199">
        <f>SUM(E3:E10)</f>
        <v>0</v>
      </c>
      <c r="F11" s="199">
        <f>SUM(F3:F10)</f>
        <v>0</v>
      </c>
      <c r="G11" s="169"/>
      <c r="H11" s="169"/>
      <c r="I11" s="169"/>
      <c r="J11" s="166" t="s">
        <v>180</v>
      </c>
      <c r="K11" s="167">
        <f>AVERAGE(K3:K10)</f>
        <v>142.5</v>
      </c>
      <c r="L11" s="210"/>
      <c r="M11" s="211"/>
      <c r="N11" s="209"/>
    </row>
    <row r="12" spans="1:14" s="219" customFormat="1" ht="18.75" thickTop="1">
      <c r="A12" s="149"/>
      <c r="B12" s="50"/>
      <c r="C12" s="50"/>
      <c r="D12" s="50"/>
      <c r="E12" s="50"/>
      <c r="F12" s="50"/>
      <c r="G12" s="169"/>
      <c r="H12" s="50"/>
      <c r="I12" s="169"/>
      <c r="L12" s="217"/>
      <c r="M12" s="218"/>
      <c r="N12" s="216"/>
    </row>
    <row r="13" spans="1:14" s="149" customFormat="1" ht="18">
      <c r="A13" s="50"/>
      <c r="B13" s="202" t="s">
        <v>184</v>
      </c>
      <c r="C13" s="221">
        <v>55</v>
      </c>
      <c r="D13" s="221"/>
      <c r="E13" s="221"/>
      <c r="F13" s="206"/>
      <c r="G13" s="220"/>
      <c r="H13" s="169"/>
      <c r="I13" s="169"/>
      <c r="L13" s="212"/>
      <c r="M13" s="211"/>
      <c r="N13" s="209"/>
    </row>
    <row r="14" spans="1:14" ht="18">
      <c r="B14" s="202" t="s">
        <v>229</v>
      </c>
      <c r="C14" s="213"/>
      <c r="D14" s="205"/>
      <c r="E14" s="231">
        <v>87</v>
      </c>
      <c r="F14" s="206"/>
      <c r="G14" s="169"/>
      <c r="H14" s="169"/>
      <c r="I14" s="169"/>
      <c r="L14" s="168"/>
      <c r="M14" s="168"/>
      <c r="N14" s="169"/>
    </row>
    <row r="15" spans="1:14" ht="18.75" thickBot="1">
      <c r="B15" s="198" t="s">
        <v>216</v>
      </c>
      <c r="C15" s="204">
        <f>SUM(C13:C14)</f>
        <v>55</v>
      </c>
      <c r="D15" s="204">
        <f>SUM(D13:D14)</f>
        <v>0</v>
      </c>
      <c r="E15" s="223">
        <f>SUM(E13:E14)</f>
        <v>87</v>
      </c>
      <c r="F15" s="204">
        <f>SUM(F13:F14)</f>
        <v>0</v>
      </c>
      <c r="G15" s="169"/>
      <c r="H15" s="169"/>
      <c r="I15" s="169"/>
      <c r="L15" s="168"/>
      <c r="M15" s="168"/>
      <c r="N15" s="169"/>
    </row>
    <row r="16" spans="1:14" ht="18.75" thickTop="1">
      <c r="E16" s="149"/>
      <c r="G16" s="169"/>
      <c r="H16" s="169"/>
      <c r="I16" s="149"/>
      <c r="L16" s="168"/>
      <c r="M16" s="168"/>
      <c r="N16" s="169"/>
    </row>
    <row r="19" spans="2:15">
      <c r="O19" s="157"/>
    </row>
    <row r="20" spans="2:15" ht="18">
      <c r="E20" s="149"/>
      <c r="G20" s="168"/>
      <c r="H20" s="168"/>
      <c r="M20" s="149"/>
      <c r="N20" s="168"/>
    </row>
    <row r="21" spans="2:15" ht="18.75" thickBot="1">
      <c r="B21" s="247">
        <v>46204</v>
      </c>
      <c r="C21" s="247" t="s">
        <v>55</v>
      </c>
      <c r="G21" s="168"/>
      <c r="H21" s="168"/>
      <c r="M21" s="149"/>
    </row>
    <row r="22" spans="2:15" ht="45.75" thickBot="1">
      <c r="B22" s="248" t="s">
        <v>260</v>
      </c>
      <c r="C22" s="249" t="s">
        <v>261</v>
      </c>
      <c r="D22" s="249" t="s">
        <v>262</v>
      </c>
      <c r="E22" s="250" t="s">
        <v>263</v>
      </c>
      <c r="F22" s="250" t="s">
        <v>264</v>
      </c>
      <c r="G22" s="251" t="s">
        <v>265</v>
      </c>
      <c r="H22" s="251" t="s">
        <v>266</v>
      </c>
      <c r="I22" s="252" t="s">
        <v>267</v>
      </c>
      <c r="J22" s="252" t="s">
        <v>266</v>
      </c>
      <c r="M22" s="253" t="s">
        <v>268</v>
      </c>
      <c r="N22" s="253" t="s">
        <v>269</v>
      </c>
    </row>
    <row r="23" spans="2:15" ht="15">
      <c r="B23" s="254" t="s">
        <v>184</v>
      </c>
      <c r="C23" s="255"/>
      <c r="D23" s="256">
        <v>50</v>
      </c>
      <c r="E23" s="257">
        <v>0.5</v>
      </c>
      <c r="F23" s="258">
        <v>30</v>
      </c>
      <c r="G23" s="259"/>
      <c r="H23" s="260">
        <v>70</v>
      </c>
      <c r="I23" s="261"/>
      <c r="J23" s="262"/>
      <c r="M23" s="263">
        <f>C23*D23+E23*F23+G23*H23+I23*J23</f>
        <v>15</v>
      </c>
      <c r="N23" s="263">
        <f>M23*1.08</f>
        <v>16.200000000000003</v>
      </c>
    </row>
    <row r="24" spans="2:15" ht="15">
      <c r="B24" s="264" t="s">
        <v>270</v>
      </c>
      <c r="C24" s="255"/>
      <c r="D24" s="256">
        <v>50</v>
      </c>
      <c r="E24" s="257"/>
      <c r="F24" s="258">
        <v>30</v>
      </c>
      <c r="G24" s="259"/>
      <c r="H24" s="260">
        <v>70</v>
      </c>
      <c r="I24" s="261"/>
      <c r="J24" s="262"/>
      <c r="M24" s="263">
        <f t="shared" ref="M24" si="0">C24*D24+E24*F24+G24*H24+I24*J24</f>
        <v>0</v>
      </c>
      <c r="N24" s="263">
        <f t="shared" ref="N24:N26" si="1">M24*1.08</f>
        <v>0</v>
      </c>
    </row>
    <row r="25" spans="2:15" ht="15">
      <c r="B25" s="254" t="s">
        <v>271</v>
      </c>
      <c r="C25" s="255"/>
      <c r="D25" s="256">
        <v>50</v>
      </c>
      <c r="E25" s="257"/>
      <c r="F25" s="258">
        <v>30</v>
      </c>
      <c r="G25" s="259"/>
      <c r="H25" s="260">
        <v>70</v>
      </c>
      <c r="I25" s="261"/>
      <c r="J25" s="262"/>
      <c r="M25" s="263">
        <f>C25*D25+E25*F25+G25*H25+I25*J25</f>
        <v>0</v>
      </c>
      <c r="N25" s="263">
        <f t="shared" si="1"/>
        <v>0</v>
      </c>
    </row>
    <row r="26" spans="2:15" ht="15.75" thickBot="1">
      <c r="B26" s="254" t="s">
        <v>272</v>
      </c>
      <c r="C26" s="265">
        <v>2</v>
      </c>
      <c r="D26" s="256">
        <v>50</v>
      </c>
      <c r="E26" s="257">
        <v>21.5</v>
      </c>
      <c r="F26" s="258">
        <v>30</v>
      </c>
      <c r="G26" s="259">
        <v>22.5</v>
      </c>
      <c r="H26" s="260">
        <v>70</v>
      </c>
      <c r="I26" s="261">
        <v>5</v>
      </c>
      <c r="J26" s="262">
        <v>100</v>
      </c>
      <c r="M26" s="263">
        <f>C26*D26+E26*F26+G26*H26+I26*J26</f>
        <v>2820</v>
      </c>
      <c r="N26" s="263">
        <f t="shared" si="1"/>
        <v>3045.6000000000004</v>
      </c>
    </row>
    <row r="27" spans="2:15" ht="15.75" thickBot="1">
      <c r="B27" s="266" t="s">
        <v>273</v>
      </c>
      <c r="C27" s="267"/>
      <c r="D27" s="267"/>
      <c r="E27" s="268">
        <f>SUM(E23:E26)</f>
        <v>22</v>
      </c>
      <c r="F27" s="268"/>
      <c r="G27" s="267"/>
      <c r="H27" s="267"/>
      <c r="I27" s="267"/>
      <c r="J27" s="267"/>
      <c r="M27" s="269">
        <f>SUM(M23:M26)</f>
        <v>2835</v>
      </c>
      <c r="N27" s="269">
        <f>SUM(N23:N26)</f>
        <v>3061.8</v>
      </c>
    </row>
    <row r="28" spans="2:15" ht="18">
      <c r="E28" s="149"/>
      <c r="F28" s="168"/>
      <c r="G28" s="168"/>
      <c r="N28" s="15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5"/>
  <sheetViews>
    <sheetView rightToLeft="1" workbookViewId="0">
      <selection activeCell="D5" sqref="D5"/>
    </sheetView>
  </sheetViews>
  <sheetFormatPr defaultColWidth="9" defaultRowHeight="14.25"/>
  <cols>
    <col min="1" max="1" width="1.625" style="197" customWidth="1"/>
    <col min="2" max="2" width="15.875" style="197" customWidth="1"/>
    <col min="3" max="3" width="4.5" style="197" customWidth="1"/>
    <col min="4" max="4" width="22.5" style="197" customWidth="1"/>
    <col min="5" max="6" width="10.125" style="197" customWidth="1"/>
    <col min="7" max="7" width="10.625" style="197" customWidth="1"/>
    <col min="8" max="8" width="14.125" style="197" customWidth="1"/>
    <col min="9" max="9" width="12" style="197" customWidth="1"/>
    <col min="10" max="10" width="20.125" style="197" customWidth="1"/>
    <col min="11" max="11" width="19" style="197" customWidth="1"/>
    <col min="12" max="16384" width="9" style="197"/>
  </cols>
  <sheetData>
    <row r="1" spans="2:18" ht="5.0999999999999996" customHeight="1"/>
    <row r="2" spans="2:18" customFormat="1" ht="36">
      <c r="B2" s="244" t="s">
        <v>245</v>
      </c>
      <c r="C2" s="244" t="s">
        <v>246</v>
      </c>
      <c r="D2" s="244" t="s">
        <v>247</v>
      </c>
      <c r="E2" s="244" t="s">
        <v>248</v>
      </c>
      <c r="F2" s="244" t="s">
        <v>249</v>
      </c>
      <c r="G2" s="244" t="s">
        <v>250</v>
      </c>
      <c r="H2" s="244" t="s">
        <v>251</v>
      </c>
      <c r="I2" s="244" t="s">
        <v>252</v>
      </c>
      <c r="J2" s="244" t="s">
        <v>253</v>
      </c>
      <c r="K2" s="244" t="s">
        <v>254</v>
      </c>
      <c r="L2" s="244" t="s">
        <v>255</v>
      </c>
      <c r="M2" s="197"/>
      <c r="N2" s="197"/>
      <c r="O2" s="197"/>
      <c r="P2" s="197"/>
      <c r="Q2" s="197"/>
      <c r="R2" s="197"/>
    </row>
    <row r="3" spans="2:18" ht="15">
      <c r="B3" s="281" t="s">
        <v>256</v>
      </c>
      <c r="C3" s="282"/>
      <c r="D3" s="245">
        <v>55</v>
      </c>
      <c r="E3" s="245">
        <v>55</v>
      </c>
      <c r="F3" s="245"/>
      <c r="G3" s="245"/>
      <c r="H3" s="245"/>
      <c r="I3" s="245"/>
      <c r="J3" s="245"/>
      <c r="K3" s="245"/>
      <c r="L3" s="245"/>
    </row>
    <row r="4" spans="2:18" ht="15">
      <c r="B4" s="281" t="s">
        <v>257</v>
      </c>
      <c r="C4" s="282"/>
      <c r="D4" s="245">
        <v>87</v>
      </c>
      <c r="E4" s="245">
        <v>83.75</v>
      </c>
      <c r="F4" s="245"/>
      <c r="G4" s="245">
        <v>3.25</v>
      </c>
      <c r="H4" s="245"/>
      <c r="I4" s="245"/>
      <c r="J4" s="245"/>
      <c r="K4" s="245"/>
      <c r="L4" s="245"/>
    </row>
    <row r="5" spans="2:18">
      <c r="B5" s="246" t="s">
        <v>258</v>
      </c>
      <c r="C5" s="246" t="s">
        <v>259</v>
      </c>
      <c r="D5" s="246">
        <f>SUM(D3:D4)</f>
        <v>142</v>
      </c>
      <c r="E5" s="246">
        <f t="shared" ref="E5:L5" si="0">SUM(E3:E4)</f>
        <v>138.75</v>
      </c>
      <c r="F5" s="246">
        <f t="shared" si="0"/>
        <v>0</v>
      </c>
      <c r="G5" s="246">
        <f t="shared" si="0"/>
        <v>3.25</v>
      </c>
      <c r="H5" s="246">
        <f t="shared" si="0"/>
        <v>0</v>
      </c>
      <c r="I5" s="246">
        <f t="shared" si="0"/>
        <v>0</v>
      </c>
      <c r="J5" s="246">
        <f t="shared" si="0"/>
        <v>0</v>
      </c>
      <c r="K5" s="246">
        <f t="shared" si="0"/>
        <v>0</v>
      </c>
      <c r="L5" s="246">
        <f t="shared" si="0"/>
        <v>0</v>
      </c>
    </row>
  </sheetData>
  <mergeCells count="2">
    <mergeCell ref="B3:C3"/>
    <mergeCell ref="B4:C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FF"/>
    <pageSetUpPr fitToPage="1"/>
  </sheetPr>
  <dimension ref="C3:N17"/>
  <sheetViews>
    <sheetView showGridLines="0" rightToLeft="1" workbookViewId="0">
      <selection activeCell="F14" sqref="F14"/>
    </sheetView>
  </sheetViews>
  <sheetFormatPr defaultColWidth="9" defaultRowHeight="14.25"/>
  <cols>
    <col min="1" max="1" width="9" style="50"/>
    <col min="2" max="2" width="17.625" style="50" customWidth="1"/>
    <col min="3" max="3" width="6.125" style="50" customWidth="1"/>
    <col min="4" max="4" width="9.125" style="50" customWidth="1"/>
    <col min="5" max="5" width="26.125" style="50" bestFit="1" customWidth="1"/>
    <col min="6" max="6" width="12.125" style="50" bestFit="1" customWidth="1"/>
    <col min="7" max="7" width="14.125" style="50" customWidth="1"/>
    <col min="8" max="8" width="5.625" style="50" customWidth="1"/>
    <col min="9" max="11" width="9" style="50"/>
    <col min="12" max="12" width="7.625" style="50" bestFit="1" customWidth="1"/>
    <col min="13" max="13" width="22.625" style="50" bestFit="1" customWidth="1"/>
    <col min="14" max="14" width="11.625" style="159" bestFit="1" customWidth="1"/>
    <col min="15" max="16384" width="9" style="50"/>
  </cols>
  <sheetData>
    <row r="3" spans="3:8" ht="15" thickBot="1"/>
    <row r="4" spans="3:8" ht="15" thickBot="1">
      <c r="C4" s="85"/>
      <c r="D4" s="86"/>
      <c r="E4" s="86"/>
      <c r="F4" s="86"/>
      <c r="G4" s="86"/>
      <c r="H4" s="87"/>
    </row>
    <row r="5" spans="3:8" ht="14.25" customHeight="1">
      <c r="C5" s="153"/>
      <c r="D5" s="283" t="s">
        <v>195</v>
      </c>
      <c r="E5" s="284"/>
      <c r="F5" s="287">
        <f>'ריכוז שעות'!F5</f>
        <v>46174</v>
      </c>
      <c r="G5" s="289"/>
      <c r="H5" s="84"/>
    </row>
    <row r="6" spans="3:8" ht="15" customHeight="1" thickBot="1">
      <c r="C6" s="153"/>
      <c r="D6" s="285"/>
      <c r="E6" s="286"/>
      <c r="F6" s="288"/>
      <c r="G6" s="290"/>
      <c r="H6" s="84"/>
    </row>
    <row r="7" spans="3:8" ht="15" thickBot="1">
      <c r="C7" s="153"/>
      <c r="H7" s="84"/>
    </row>
    <row r="8" spans="3:8" ht="15.75" thickBot="1">
      <c r="C8" s="153"/>
      <c r="D8" s="176" t="s">
        <v>141</v>
      </c>
      <c r="E8" s="123" t="s">
        <v>142</v>
      </c>
      <c r="F8" s="177" t="s">
        <v>143</v>
      </c>
      <c r="G8" s="177" t="s">
        <v>8</v>
      </c>
      <c r="H8" s="84"/>
    </row>
    <row r="9" spans="3:8">
      <c r="C9" s="153"/>
      <c r="D9" s="91" t="str">
        <f>'דוח מרכז לאישור מנהל'!B50</f>
        <v>181-22620</v>
      </c>
      <c r="E9" s="165" t="str">
        <f>'דוח מרכז לאישור מנהל'!C50</f>
        <v>שעות עבודה מכירות פילאטיס - חוץ</v>
      </c>
      <c r="F9" s="121">
        <f>'דוח מרכז לאישור מנהל'!D49</f>
        <v>6062.5</v>
      </c>
      <c r="G9" s="175"/>
      <c r="H9" s="84"/>
    </row>
    <row r="10" spans="3:8">
      <c r="C10" s="153"/>
      <c r="D10" s="91" t="str">
        <f>'דוח מרכז לאישור מנהל'!B47</f>
        <v>181-22636</v>
      </c>
      <c r="E10" s="155" t="str">
        <f>'דוח מרכז לאישור מנהל'!C47</f>
        <v>עמלות מכירת מנויים פילאטיס</v>
      </c>
      <c r="F10" s="121">
        <f>'דוח מרכז לאישור מנהל'!D47+'דוח מרכז לאישור מנהל'!D48</f>
        <v>3061.8</v>
      </c>
      <c r="G10" s="175"/>
      <c r="H10" s="84"/>
    </row>
    <row r="11" spans="3:8">
      <c r="C11" s="153"/>
      <c r="D11" s="91" t="str">
        <f>'דוח מרכז לאישור מנהל'!B52</f>
        <v>181-22604</v>
      </c>
      <c r="E11" s="165" t="str">
        <f>'דוח מרכז לאישור מנהל'!C52</f>
        <v>שיעורים סטודיו פילאטיס</v>
      </c>
      <c r="F11" s="121">
        <f>'דוח מרכז לאישור מנהל'!D52+'דוח מרכז לאישור מנהל'!D53</f>
        <v>20928.5</v>
      </c>
      <c r="G11" s="125"/>
      <c r="H11" s="84"/>
    </row>
    <row r="12" spans="3:8">
      <c r="C12" s="153"/>
      <c r="D12" s="91" t="str">
        <f>'דוח מרכז לאישור מנהל'!B51</f>
        <v>181-22601</v>
      </c>
      <c r="E12" s="165" t="s">
        <v>200</v>
      </c>
      <c r="F12" s="121">
        <f>'דוח מרכז לאישור מנהל'!D51</f>
        <v>2000</v>
      </c>
      <c r="G12" s="125"/>
      <c r="H12" s="84"/>
    </row>
    <row r="13" spans="3:8">
      <c r="C13" s="153"/>
      <c r="D13" s="91" t="s">
        <v>222</v>
      </c>
      <c r="E13" s="165" t="s">
        <v>223</v>
      </c>
      <c r="F13" s="121">
        <f>'דוח מרכז לאישור מנהל'!D56</f>
        <v>0</v>
      </c>
      <c r="G13" s="125"/>
      <c r="H13" s="84"/>
    </row>
    <row r="14" spans="3:8" ht="15" thickBot="1">
      <c r="C14" s="153"/>
      <c r="D14" s="91" t="s">
        <v>204</v>
      </c>
      <c r="E14" s="165" t="s">
        <v>205</v>
      </c>
      <c r="F14" s="121">
        <f>'דוח מרכז לאישור מנהל'!D54+'דוח מרכז לאישור מנהל'!D55</f>
        <v>0</v>
      </c>
      <c r="G14" s="125"/>
      <c r="H14" s="84"/>
    </row>
    <row r="15" spans="3:8" ht="15.75" thickBot="1">
      <c r="C15" s="153"/>
      <c r="D15" s="122"/>
      <c r="E15" s="123" t="s">
        <v>4</v>
      </c>
      <c r="F15" s="195">
        <f>SUM(F9:F14)</f>
        <v>32052.799999999999</v>
      </c>
      <c r="G15" s="124"/>
      <c r="H15" s="84"/>
    </row>
    <row r="16" spans="3:8">
      <c r="C16" s="153"/>
      <c r="H16" s="84"/>
    </row>
    <row r="17" spans="3:8" ht="15" thickBot="1">
      <c r="C17" s="88"/>
      <c r="D17" s="89"/>
      <c r="E17" s="89"/>
      <c r="F17" s="89"/>
      <c r="G17" s="89"/>
      <c r="H17" s="90"/>
    </row>
  </sheetData>
  <mergeCells count="3">
    <mergeCell ref="D5:E6"/>
    <mergeCell ref="F5:F6"/>
    <mergeCell ref="G5:G6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16"/>
  <sheetViews>
    <sheetView rightToLeft="1" workbookViewId="0">
      <selection activeCell="A3" sqref="A3"/>
    </sheetView>
  </sheetViews>
  <sheetFormatPr defaultColWidth="8.875" defaultRowHeight="14.25"/>
  <cols>
    <col min="1" max="1" width="13" bestFit="1" customWidth="1"/>
    <col min="2" max="2" width="14.125" bestFit="1" customWidth="1"/>
  </cols>
  <sheetData>
    <row r="3" spans="1:2">
      <c r="A3" s="72" t="s">
        <v>66</v>
      </c>
      <c r="B3" t="s">
        <v>68</v>
      </c>
    </row>
    <row r="4" spans="1:2">
      <c r="A4" s="73" t="s">
        <v>12</v>
      </c>
      <c r="B4">
        <v>8</v>
      </c>
    </row>
    <row r="5" spans="1:2">
      <c r="A5" s="73" t="s">
        <v>13</v>
      </c>
      <c r="B5">
        <v>8</v>
      </c>
    </row>
    <row r="6" spans="1:2">
      <c r="A6" s="73" t="s">
        <v>138</v>
      </c>
      <c r="B6">
        <v>1</v>
      </c>
    </row>
    <row r="7" spans="1:2">
      <c r="A7" s="73" t="s">
        <v>50</v>
      </c>
      <c r="B7">
        <v>18</v>
      </c>
    </row>
    <row r="8" spans="1:2">
      <c r="A8" s="73" t="s">
        <v>132</v>
      </c>
      <c r="B8">
        <v>5</v>
      </c>
    </row>
    <row r="9" spans="1:2">
      <c r="A9" s="73" t="s">
        <v>135</v>
      </c>
      <c r="B9">
        <v>1</v>
      </c>
    </row>
    <row r="10" spans="1:2">
      <c r="A10" s="73" t="s">
        <v>59</v>
      </c>
      <c r="B10">
        <v>18</v>
      </c>
    </row>
    <row r="11" spans="1:2">
      <c r="A11" s="73" t="s">
        <v>57</v>
      </c>
      <c r="B11">
        <v>5</v>
      </c>
    </row>
    <row r="12" spans="1:2">
      <c r="A12" s="73" t="s">
        <v>130</v>
      </c>
      <c r="B12">
        <v>5</v>
      </c>
    </row>
    <row r="13" spans="1:2">
      <c r="A13" s="73" t="s">
        <v>16</v>
      </c>
      <c r="B13">
        <v>16</v>
      </c>
    </row>
    <row r="14" spans="1:2">
      <c r="A14" s="73" t="s">
        <v>15</v>
      </c>
      <c r="B14">
        <v>2</v>
      </c>
    </row>
    <row r="15" spans="1:2">
      <c r="A15" s="73" t="s">
        <v>140</v>
      </c>
      <c r="B15">
        <v>1</v>
      </c>
    </row>
    <row r="16" spans="1:2">
      <c r="A16" s="73" t="s">
        <v>67</v>
      </c>
      <c r="B16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89"/>
  <sheetViews>
    <sheetView rightToLeft="1" workbookViewId="0">
      <selection sqref="A1:O89"/>
    </sheetView>
  </sheetViews>
  <sheetFormatPr defaultColWidth="8.875" defaultRowHeight="14.25"/>
  <sheetData>
    <row r="1" spans="1:15">
      <c r="A1" t="s">
        <v>36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131</v>
      </c>
      <c r="M1" t="s">
        <v>46</v>
      </c>
      <c r="N1" t="s">
        <v>47</v>
      </c>
      <c r="O1" t="s">
        <v>48</v>
      </c>
    </row>
    <row r="2" spans="1:15">
      <c r="A2" s="70">
        <v>43466</v>
      </c>
      <c r="B2" t="s">
        <v>20</v>
      </c>
      <c r="C2" s="71">
        <v>0.3125</v>
      </c>
      <c r="D2" s="71">
        <v>0.34722222222222227</v>
      </c>
      <c r="E2">
        <v>0.83299999999999996</v>
      </c>
      <c r="F2">
        <v>50</v>
      </c>
      <c r="G2" t="s">
        <v>49</v>
      </c>
      <c r="H2" t="s">
        <v>12</v>
      </c>
      <c r="I2" t="s">
        <v>10</v>
      </c>
      <c r="J2" t="s">
        <v>56</v>
      </c>
      <c r="K2">
        <v>13</v>
      </c>
      <c r="L2">
        <v>86.67</v>
      </c>
      <c r="M2">
        <v>12</v>
      </c>
      <c r="N2">
        <v>0</v>
      </c>
      <c r="O2" t="s">
        <v>52</v>
      </c>
    </row>
    <row r="3" spans="1:15">
      <c r="A3" s="70">
        <v>43466</v>
      </c>
      <c r="B3" t="s">
        <v>20</v>
      </c>
      <c r="C3" s="71">
        <v>0.77083333333333337</v>
      </c>
      <c r="D3" s="71">
        <v>0.80555555555555547</v>
      </c>
      <c r="E3">
        <v>0.83299999999999996</v>
      </c>
      <c r="F3">
        <v>50</v>
      </c>
      <c r="G3" t="s">
        <v>49</v>
      </c>
      <c r="H3" t="s">
        <v>50</v>
      </c>
      <c r="I3" t="s">
        <v>10</v>
      </c>
      <c r="J3" t="s">
        <v>65</v>
      </c>
      <c r="K3">
        <v>12</v>
      </c>
      <c r="L3">
        <v>100</v>
      </c>
      <c r="M3">
        <v>8</v>
      </c>
      <c r="N3">
        <v>1</v>
      </c>
      <c r="O3" t="s">
        <v>52</v>
      </c>
    </row>
    <row r="4" spans="1:15">
      <c r="A4" s="70">
        <v>43466</v>
      </c>
      <c r="B4" t="s">
        <v>20</v>
      </c>
      <c r="C4" s="71">
        <v>0.35416666666666669</v>
      </c>
      <c r="D4" s="71">
        <v>0.3888888888888889</v>
      </c>
      <c r="E4">
        <v>0.83299999999999996</v>
      </c>
      <c r="F4">
        <v>50</v>
      </c>
      <c r="G4" t="s">
        <v>49</v>
      </c>
      <c r="H4" t="s">
        <v>59</v>
      </c>
      <c r="I4" t="s">
        <v>10</v>
      </c>
      <c r="J4" t="s">
        <v>53</v>
      </c>
      <c r="K4">
        <v>12</v>
      </c>
      <c r="L4">
        <v>100</v>
      </c>
      <c r="M4">
        <v>10</v>
      </c>
      <c r="N4">
        <v>5</v>
      </c>
      <c r="O4" t="s">
        <v>52</v>
      </c>
    </row>
    <row r="5" spans="1:15">
      <c r="A5" s="70">
        <v>43466</v>
      </c>
      <c r="B5" t="s">
        <v>20</v>
      </c>
      <c r="C5" s="71">
        <v>0.72916666666666663</v>
      </c>
      <c r="D5" s="71">
        <v>0.76388888888888884</v>
      </c>
      <c r="E5">
        <v>0.83299999999999996</v>
      </c>
      <c r="F5">
        <v>50</v>
      </c>
      <c r="G5" t="s">
        <v>49</v>
      </c>
      <c r="H5" t="s">
        <v>132</v>
      </c>
      <c r="I5" t="s">
        <v>10</v>
      </c>
      <c r="J5" t="s">
        <v>133</v>
      </c>
      <c r="K5">
        <v>14</v>
      </c>
      <c r="L5">
        <v>93.33</v>
      </c>
      <c r="M5">
        <v>11</v>
      </c>
      <c r="N5">
        <v>0</v>
      </c>
      <c r="O5" t="s">
        <v>52</v>
      </c>
    </row>
    <row r="6" spans="1:15">
      <c r="A6" s="70">
        <v>43467</v>
      </c>
      <c r="B6" t="s">
        <v>21</v>
      </c>
      <c r="C6" s="71">
        <v>0.77083333333333337</v>
      </c>
      <c r="D6" s="71">
        <v>0.80555555555555547</v>
      </c>
      <c r="E6">
        <v>0.83299999999999996</v>
      </c>
      <c r="F6">
        <v>50</v>
      </c>
      <c r="G6" t="s">
        <v>49</v>
      </c>
      <c r="H6" t="s">
        <v>16</v>
      </c>
      <c r="I6" t="s">
        <v>10</v>
      </c>
      <c r="J6" t="s">
        <v>134</v>
      </c>
      <c r="K6">
        <v>15</v>
      </c>
      <c r="L6">
        <v>100</v>
      </c>
      <c r="M6">
        <v>11</v>
      </c>
      <c r="N6">
        <v>10</v>
      </c>
      <c r="O6" t="s">
        <v>52</v>
      </c>
    </row>
    <row r="7" spans="1:15">
      <c r="A7" s="70">
        <v>43467</v>
      </c>
      <c r="B7" t="s">
        <v>21</v>
      </c>
      <c r="C7" s="71">
        <v>0.3125</v>
      </c>
      <c r="D7" s="71">
        <v>0.34722222222222227</v>
      </c>
      <c r="E7">
        <v>0.83299999999999996</v>
      </c>
      <c r="F7">
        <v>50</v>
      </c>
      <c r="G7" t="s">
        <v>49</v>
      </c>
      <c r="H7" t="s">
        <v>135</v>
      </c>
      <c r="I7" t="s">
        <v>10</v>
      </c>
      <c r="J7" t="s">
        <v>53</v>
      </c>
      <c r="K7">
        <v>12</v>
      </c>
      <c r="L7">
        <v>100</v>
      </c>
      <c r="M7">
        <v>6</v>
      </c>
      <c r="N7">
        <v>0</v>
      </c>
      <c r="O7" t="s">
        <v>52</v>
      </c>
    </row>
    <row r="8" spans="1:15">
      <c r="A8" s="70">
        <v>43467</v>
      </c>
      <c r="B8" t="s">
        <v>21</v>
      </c>
      <c r="C8" s="71">
        <v>0.72916666666666663</v>
      </c>
      <c r="D8" s="71">
        <v>0.76388888888888884</v>
      </c>
      <c r="E8">
        <v>0.83299999999999996</v>
      </c>
      <c r="F8">
        <v>50</v>
      </c>
      <c r="G8" t="s">
        <v>49</v>
      </c>
      <c r="H8" t="s">
        <v>16</v>
      </c>
      <c r="I8" t="s">
        <v>10</v>
      </c>
      <c r="J8" t="s">
        <v>55</v>
      </c>
      <c r="K8">
        <v>10</v>
      </c>
      <c r="L8">
        <v>100</v>
      </c>
      <c r="M8">
        <v>8</v>
      </c>
      <c r="N8">
        <v>11</v>
      </c>
      <c r="O8" t="s">
        <v>52</v>
      </c>
    </row>
    <row r="9" spans="1:15">
      <c r="A9" s="70">
        <v>43468</v>
      </c>
      <c r="B9" t="s">
        <v>17</v>
      </c>
      <c r="C9" s="71">
        <v>0.35416666666666669</v>
      </c>
      <c r="D9" s="71">
        <v>0.3888888888888889</v>
      </c>
      <c r="E9">
        <v>0.83299999999999996</v>
      </c>
      <c r="F9">
        <v>50</v>
      </c>
      <c r="G9" t="s">
        <v>49</v>
      </c>
      <c r="H9" t="s">
        <v>130</v>
      </c>
      <c r="I9" t="s">
        <v>10</v>
      </c>
      <c r="J9" t="s">
        <v>55</v>
      </c>
      <c r="K9">
        <v>10</v>
      </c>
      <c r="L9">
        <v>100</v>
      </c>
      <c r="M9">
        <v>8</v>
      </c>
      <c r="N9">
        <v>2</v>
      </c>
      <c r="O9" t="s">
        <v>52</v>
      </c>
    </row>
    <row r="10" spans="1:15">
      <c r="A10" s="70">
        <v>43468</v>
      </c>
      <c r="B10" t="s">
        <v>17</v>
      </c>
      <c r="C10" s="71">
        <v>0.72916666666666663</v>
      </c>
      <c r="D10" s="71">
        <v>0.76388888888888884</v>
      </c>
      <c r="E10">
        <v>0.83299999999999996</v>
      </c>
      <c r="F10">
        <v>50</v>
      </c>
      <c r="G10" t="s">
        <v>49</v>
      </c>
      <c r="H10" t="s">
        <v>59</v>
      </c>
      <c r="I10" t="s">
        <v>10</v>
      </c>
      <c r="J10" t="s">
        <v>136</v>
      </c>
      <c r="K10">
        <v>12</v>
      </c>
      <c r="L10">
        <v>100</v>
      </c>
      <c r="M10">
        <v>9</v>
      </c>
      <c r="N10">
        <v>5</v>
      </c>
      <c r="O10" t="s">
        <v>52</v>
      </c>
    </row>
    <row r="11" spans="1:15">
      <c r="A11" s="70">
        <v>43468</v>
      </c>
      <c r="B11" t="s">
        <v>17</v>
      </c>
      <c r="C11" s="71">
        <v>0.77083333333333337</v>
      </c>
      <c r="D11" s="71">
        <v>0.80555555555555547</v>
      </c>
      <c r="E11">
        <v>0.83299999999999996</v>
      </c>
      <c r="F11">
        <v>50</v>
      </c>
      <c r="G11" t="s">
        <v>49</v>
      </c>
      <c r="H11" t="s">
        <v>13</v>
      </c>
      <c r="I11" t="s">
        <v>10</v>
      </c>
      <c r="J11" t="s">
        <v>137</v>
      </c>
      <c r="K11">
        <v>20</v>
      </c>
      <c r="L11">
        <v>100</v>
      </c>
      <c r="M11">
        <v>18</v>
      </c>
      <c r="N11">
        <v>0</v>
      </c>
      <c r="O11" t="s">
        <v>52</v>
      </c>
    </row>
    <row r="12" spans="1:15">
      <c r="A12" s="70">
        <v>43468</v>
      </c>
      <c r="B12" t="s">
        <v>17</v>
      </c>
      <c r="C12" s="71">
        <v>0.3125</v>
      </c>
      <c r="D12" s="71">
        <v>0.34722222222222227</v>
      </c>
      <c r="E12">
        <v>0.83299999999999996</v>
      </c>
      <c r="F12">
        <v>50</v>
      </c>
      <c r="G12" t="s">
        <v>49</v>
      </c>
      <c r="H12" t="s">
        <v>50</v>
      </c>
      <c r="I12" t="s">
        <v>10</v>
      </c>
      <c r="J12" t="s">
        <v>51</v>
      </c>
      <c r="K12">
        <v>11</v>
      </c>
      <c r="L12">
        <v>78.569999999999993</v>
      </c>
      <c r="M12">
        <v>9</v>
      </c>
      <c r="N12">
        <v>0</v>
      </c>
      <c r="O12" t="s">
        <v>52</v>
      </c>
    </row>
    <row r="13" spans="1:15">
      <c r="A13" s="70">
        <v>43471</v>
      </c>
      <c r="B13" t="s">
        <v>18</v>
      </c>
      <c r="C13" s="71">
        <v>0.35416666666666669</v>
      </c>
      <c r="D13" s="71">
        <v>0.3888888888888889</v>
      </c>
      <c r="E13">
        <v>0.83299999999999996</v>
      </c>
      <c r="F13">
        <v>50</v>
      </c>
      <c r="G13" t="s">
        <v>49</v>
      </c>
      <c r="H13" t="s">
        <v>59</v>
      </c>
      <c r="I13" t="s">
        <v>10</v>
      </c>
      <c r="J13" t="s">
        <v>53</v>
      </c>
      <c r="K13">
        <v>12</v>
      </c>
      <c r="L13">
        <v>100</v>
      </c>
      <c r="M13">
        <v>12</v>
      </c>
      <c r="N13">
        <v>5</v>
      </c>
      <c r="O13" t="s">
        <v>52</v>
      </c>
    </row>
    <row r="14" spans="1:15">
      <c r="A14" s="70">
        <v>43471</v>
      </c>
      <c r="B14" t="s">
        <v>18</v>
      </c>
      <c r="C14" s="71">
        <v>0.79166666666666663</v>
      </c>
      <c r="D14" s="71">
        <v>0.82638888888888884</v>
      </c>
      <c r="E14">
        <v>0.83299999999999996</v>
      </c>
      <c r="F14">
        <v>50</v>
      </c>
      <c r="G14" t="s">
        <v>49</v>
      </c>
      <c r="H14" t="s">
        <v>13</v>
      </c>
      <c r="I14" t="s">
        <v>10</v>
      </c>
      <c r="J14" t="s">
        <v>137</v>
      </c>
      <c r="K14">
        <v>15</v>
      </c>
      <c r="L14">
        <v>100</v>
      </c>
      <c r="M14">
        <v>15</v>
      </c>
      <c r="N14">
        <v>0</v>
      </c>
      <c r="O14" t="s">
        <v>52</v>
      </c>
    </row>
    <row r="15" spans="1:15">
      <c r="A15" s="70">
        <v>43471</v>
      </c>
      <c r="B15" t="s">
        <v>18</v>
      </c>
      <c r="C15" s="71">
        <v>0.75</v>
      </c>
      <c r="D15" s="71">
        <v>0.78472222222222221</v>
      </c>
      <c r="E15">
        <v>0.83299999999999996</v>
      </c>
      <c r="F15">
        <v>50</v>
      </c>
      <c r="G15" t="s">
        <v>49</v>
      </c>
      <c r="H15" t="s">
        <v>50</v>
      </c>
      <c r="I15" t="s">
        <v>10</v>
      </c>
      <c r="J15" t="s">
        <v>65</v>
      </c>
      <c r="K15">
        <v>12</v>
      </c>
      <c r="L15">
        <v>100</v>
      </c>
      <c r="M15">
        <v>10</v>
      </c>
      <c r="N15">
        <v>4</v>
      </c>
      <c r="O15" t="s">
        <v>52</v>
      </c>
    </row>
    <row r="16" spans="1:15">
      <c r="A16" s="70">
        <v>43472</v>
      </c>
      <c r="B16" t="s">
        <v>19</v>
      </c>
      <c r="C16" s="71">
        <v>0.3125</v>
      </c>
      <c r="D16" s="71">
        <v>0.34722222222222227</v>
      </c>
      <c r="E16">
        <v>0.83299999999999996</v>
      </c>
      <c r="F16">
        <v>50</v>
      </c>
      <c r="G16" t="s">
        <v>49</v>
      </c>
      <c r="H16" t="s">
        <v>16</v>
      </c>
      <c r="I16" t="s">
        <v>10</v>
      </c>
      <c r="J16" t="s">
        <v>55</v>
      </c>
      <c r="K16">
        <v>12</v>
      </c>
      <c r="L16">
        <v>100</v>
      </c>
      <c r="M16">
        <v>12</v>
      </c>
      <c r="N16">
        <v>5</v>
      </c>
      <c r="O16" t="s">
        <v>52</v>
      </c>
    </row>
    <row r="17" spans="1:15">
      <c r="A17" s="70">
        <v>43472</v>
      </c>
      <c r="B17" t="s">
        <v>19</v>
      </c>
      <c r="C17" s="71">
        <v>0.75</v>
      </c>
      <c r="D17" s="71">
        <v>0.78472222222222221</v>
      </c>
      <c r="E17">
        <v>0.83299999999999996</v>
      </c>
      <c r="F17">
        <v>50</v>
      </c>
      <c r="G17" t="s">
        <v>49</v>
      </c>
      <c r="H17" t="s">
        <v>57</v>
      </c>
      <c r="I17" t="s">
        <v>10</v>
      </c>
      <c r="J17" t="s">
        <v>56</v>
      </c>
      <c r="K17">
        <v>15</v>
      </c>
      <c r="L17">
        <v>100</v>
      </c>
      <c r="M17">
        <v>13</v>
      </c>
      <c r="N17">
        <v>3</v>
      </c>
      <c r="O17" t="s">
        <v>52</v>
      </c>
    </row>
    <row r="18" spans="1:15">
      <c r="A18" s="70">
        <v>43472</v>
      </c>
      <c r="B18" t="s">
        <v>19</v>
      </c>
      <c r="C18" s="71">
        <v>0.70833333333333337</v>
      </c>
      <c r="D18" s="71">
        <v>0.74305555555555547</v>
      </c>
      <c r="E18">
        <v>0.83299999999999996</v>
      </c>
      <c r="F18">
        <v>50</v>
      </c>
      <c r="G18" t="s">
        <v>49</v>
      </c>
      <c r="H18" t="s">
        <v>59</v>
      </c>
      <c r="I18" t="s">
        <v>10</v>
      </c>
      <c r="J18" t="s">
        <v>53</v>
      </c>
      <c r="K18">
        <v>12</v>
      </c>
      <c r="L18">
        <v>100</v>
      </c>
      <c r="M18">
        <v>10</v>
      </c>
      <c r="N18">
        <v>5</v>
      </c>
      <c r="O18" t="s">
        <v>52</v>
      </c>
    </row>
    <row r="19" spans="1:15">
      <c r="A19" s="70">
        <v>43472</v>
      </c>
      <c r="B19" t="s">
        <v>19</v>
      </c>
      <c r="C19" s="71">
        <v>0.35416666666666669</v>
      </c>
      <c r="D19" s="71">
        <v>0.3888888888888889</v>
      </c>
      <c r="E19">
        <v>0.83299999999999996</v>
      </c>
      <c r="F19">
        <v>50</v>
      </c>
      <c r="G19" t="s">
        <v>49</v>
      </c>
      <c r="H19" t="s">
        <v>16</v>
      </c>
      <c r="I19" t="s">
        <v>10</v>
      </c>
      <c r="J19" t="s">
        <v>134</v>
      </c>
      <c r="K19">
        <v>10</v>
      </c>
      <c r="L19">
        <v>66.67</v>
      </c>
      <c r="M19">
        <v>7</v>
      </c>
      <c r="N19">
        <v>0</v>
      </c>
      <c r="O19" t="s">
        <v>52</v>
      </c>
    </row>
    <row r="20" spans="1:15">
      <c r="A20" s="70">
        <v>43473</v>
      </c>
      <c r="B20" t="s">
        <v>20</v>
      </c>
      <c r="C20" s="71">
        <v>0.3125</v>
      </c>
      <c r="D20" s="71">
        <v>0.34722222222222227</v>
      </c>
      <c r="E20">
        <v>0.83299999999999996</v>
      </c>
      <c r="F20">
        <v>50</v>
      </c>
      <c r="G20" t="s">
        <v>49</v>
      </c>
      <c r="H20" t="s">
        <v>12</v>
      </c>
      <c r="I20" t="s">
        <v>10</v>
      </c>
      <c r="J20" t="s">
        <v>56</v>
      </c>
      <c r="K20">
        <v>12</v>
      </c>
      <c r="L20">
        <v>80</v>
      </c>
      <c r="M20">
        <v>11</v>
      </c>
      <c r="N20">
        <v>0</v>
      </c>
      <c r="O20" t="s">
        <v>52</v>
      </c>
    </row>
    <row r="21" spans="1:15">
      <c r="A21" s="70">
        <v>43473</v>
      </c>
      <c r="B21" t="s">
        <v>20</v>
      </c>
      <c r="C21" s="71">
        <v>0.78125</v>
      </c>
      <c r="D21" s="71">
        <v>0.81597222222222221</v>
      </c>
      <c r="E21">
        <v>0.83299999999999996</v>
      </c>
      <c r="F21">
        <v>50</v>
      </c>
      <c r="G21" t="s">
        <v>49</v>
      </c>
      <c r="H21" t="s">
        <v>50</v>
      </c>
      <c r="I21" t="s">
        <v>10</v>
      </c>
      <c r="J21" t="s">
        <v>65</v>
      </c>
      <c r="K21">
        <v>12</v>
      </c>
      <c r="L21">
        <v>100</v>
      </c>
      <c r="M21">
        <v>9</v>
      </c>
      <c r="N21">
        <v>4</v>
      </c>
      <c r="O21" t="s">
        <v>52</v>
      </c>
    </row>
    <row r="22" spans="1:15">
      <c r="A22" s="70">
        <v>43473</v>
      </c>
      <c r="B22" t="s">
        <v>20</v>
      </c>
      <c r="C22" s="71">
        <v>0.35416666666666669</v>
      </c>
      <c r="D22" s="71">
        <v>0.3888888888888889</v>
      </c>
      <c r="E22">
        <v>0.83299999999999996</v>
      </c>
      <c r="F22">
        <v>50</v>
      </c>
      <c r="G22" t="s">
        <v>49</v>
      </c>
      <c r="H22" t="s">
        <v>59</v>
      </c>
      <c r="I22" t="s">
        <v>10</v>
      </c>
      <c r="J22" t="s">
        <v>53</v>
      </c>
      <c r="K22">
        <v>11</v>
      </c>
      <c r="L22">
        <v>91.67</v>
      </c>
      <c r="M22">
        <v>10</v>
      </c>
      <c r="N22">
        <v>0</v>
      </c>
      <c r="O22" t="s">
        <v>52</v>
      </c>
    </row>
    <row r="23" spans="1:15">
      <c r="A23" s="70">
        <v>43473</v>
      </c>
      <c r="B23" t="s">
        <v>20</v>
      </c>
      <c r="C23" s="71">
        <v>0.73958333333333337</v>
      </c>
      <c r="D23" s="71">
        <v>0.77430555555555547</v>
      </c>
      <c r="E23">
        <v>0.83299999999999996</v>
      </c>
      <c r="F23">
        <v>50</v>
      </c>
      <c r="G23" t="s">
        <v>49</v>
      </c>
      <c r="H23" t="s">
        <v>132</v>
      </c>
      <c r="I23" t="s">
        <v>10</v>
      </c>
      <c r="J23" t="s">
        <v>133</v>
      </c>
      <c r="K23">
        <v>13</v>
      </c>
      <c r="L23">
        <v>86.67</v>
      </c>
      <c r="M23">
        <v>8</v>
      </c>
      <c r="N23">
        <v>0</v>
      </c>
      <c r="O23" t="s">
        <v>52</v>
      </c>
    </row>
    <row r="24" spans="1:15">
      <c r="A24" s="70">
        <v>43474</v>
      </c>
      <c r="B24" t="s">
        <v>21</v>
      </c>
      <c r="C24" s="71">
        <v>0.77083333333333337</v>
      </c>
      <c r="D24" s="71">
        <v>0.80555555555555547</v>
      </c>
      <c r="E24">
        <v>0.83299999999999996</v>
      </c>
      <c r="F24">
        <v>50</v>
      </c>
      <c r="G24" t="s">
        <v>49</v>
      </c>
      <c r="H24" t="s">
        <v>50</v>
      </c>
      <c r="I24" t="s">
        <v>10</v>
      </c>
      <c r="J24" t="s">
        <v>134</v>
      </c>
      <c r="K24">
        <v>15</v>
      </c>
      <c r="L24">
        <v>100</v>
      </c>
      <c r="M24">
        <v>12</v>
      </c>
      <c r="N24">
        <v>2</v>
      </c>
      <c r="O24" t="s">
        <v>52</v>
      </c>
    </row>
    <row r="25" spans="1:15">
      <c r="A25" s="70">
        <v>43474</v>
      </c>
      <c r="B25" t="s">
        <v>21</v>
      </c>
      <c r="C25" s="71">
        <v>0.3125</v>
      </c>
      <c r="D25" s="71">
        <v>0.34722222222222227</v>
      </c>
      <c r="E25">
        <v>0.83299999999999996</v>
      </c>
      <c r="F25">
        <v>50</v>
      </c>
      <c r="G25" t="s">
        <v>49</v>
      </c>
      <c r="H25" t="s">
        <v>138</v>
      </c>
      <c r="I25" t="s">
        <v>10</v>
      </c>
      <c r="J25" t="s">
        <v>53</v>
      </c>
      <c r="K25">
        <v>12</v>
      </c>
      <c r="L25">
        <v>100</v>
      </c>
      <c r="M25">
        <v>9</v>
      </c>
      <c r="N25">
        <v>1</v>
      </c>
      <c r="O25" t="s">
        <v>52</v>
      </c>
    </row>
    <row r="26" spans="1:15">
      <c r="A26" s="70">
        <v>43474</v>
      </c>
      <c r="B26" t="s">
        <v>21</v>
      </c>
      <c r="C26" s="71">
        <v>0.72916666666666663</v>
      </c>
      <c r="D26" s="71">
        <v>0.76388888888888884</v>
      </c>
      <c r="E26">
        <v>0.83299999999999996</v>
      </c>
      <c r="F26">
        <v>50</v>
      </c>
      <c r="G26" t="s">
        <v>49</v>
      </c>
      <c r="H26" t="s">
        <v>50</v>
      </c>
      <c r="I26" t="s">
        <v>10</v>
      </c>
      <c r="J26" t="s">
        <v>65</v>
      </c>
      <c r="K26">
        <v>12</v>
      </c>
      <c r="L26">
        <v>100</v>
      </c>
      <c r="M26">
        <v>10</v>
      </c>
      <c r="N26">
        <v>5</v>
      </c>
      <c r="O26" t="s">
        <v>52</v>
      </c>
    </row>
    <row r="27" spans="1:15">
      <c r="A27" s="70">
        <v>43474</v>
      </c>
      <c r="B27" t="s">
        <v>21</v>
      </c>
      <c r="C27" s="71">
        <v>0.35416666666666669</v>
      </c>
      <c r="D27" s="71">
        <v>0.3888888888888889</v>
      </c>
      <c r="E27">
        <v>0.83299999999999996</v>
      </c>
      <c r="F27">
        <v>50</v>
      </c>
      <c r="G27" t="s">
        <v>49</v>
      </c>
      <c r="H27" t="s">
        <v>15</v>
      </c>
      <c r="I27" t="s">
        <v>10</v>
      </c>
      <c r="J27" t="s">
        <v>51</v>
      </c>
      <c r="K27">
        <v>5</v>
      </c>
      <c r="L27">
        <v>35.71</v>
      </c>
      <c r="M27">
        <v>3</v>
      </c>
      <c r="N27">
        <v>0</v>
      </c>
      <c r="O27" t="s">
        <v>52</v>
      </c>
    </row>
    <row r="28" spans="1:15">
      <c r="A28" s="70">
        <v>43475</v>
      </c>
      <c r="B28" t="s">
        <v>17</v>
      </c>
      <c r="C28" s="71">
        <v>0.72916666666666663</v>
      </c>
      <c r="D28" s="71">
        <v>0.76388888888888884</v>
      </c>
      <c r="E28">
        <v>0.83299999999999996</v>
      </c>
      <c r="F28">
        <v>50</v>
      </c>
      <c r="G28" t="s">
        <v>49</v>
      </c>
      <c r="H28" t="s">
        <v>59</v>
      </c>
      <c r="I28" t="s">
        <v>10</v>
      </c>
      <c r="J28" t="s">
        <v>136</v>
      </c>
      <c r="K28">
        <v>12</v>
      </c>
      <c r="L28">
        <v>100</v>
      </c>
      <c r="M28">
        <v>11</v>
      </c>
      <c r="N28">
        <v>7</v>
      </c>
      <c r="O28" t="s">
        <v>52</v>
      </c>
    </row>
    <row r="29" spans="1:15">
      <c r="A29" s="70">
        <v>43475</v>
      </c>
      <c r="B29" t="s">
        <v>17</v>
      </c>
      <c r="C29" s="71">
        <v>0.77083333333333337</v>
      </c>
      <c r="D29" s="71">
        <v>0.80555555555555547</v>
      </c>
      <c r="E29">
        <v>0.83299999999999996</v>
      </c>
      <c r="F29">
        <v>50</v>
      </c>
      <c r="G29" t="s">
        <v>49</v>
      </c>
      <c r="H29" t="s">
        <v>13</v>
      </c>
      <c r="I29" t="s">
        <v>10</v>
      </c>
      <c r="J29" t="s">
        <v>139</v>
      </c>
      <c r="K29">
        <v>15</v>
      </c>
      <c r="L29">
        <v>100</v>
      </c>
      <c r="M29">
        <v>12</v>
      </c>
      <c r="N29">
        <v>3</v>
      </c>
      <c r="O29" t="s">
        <v>52</v>
      </c>
    </row>
    <row r="30" spans="1:15">
      <c r="A30" s="70">
        <v>43475</v>
      </c>
      <c r="B30" t="s">
        <v>17</v>
      </c>
      <c r="C30" s="71">
        <v>0.3125</v>
      </c>
      <c r="D30" s="71">
        <v>0.34722222222222227</v>
      </c>
      <c r="E30">
        <v>0.83299999999999996</v>
      </c>
      <c r="F30">
        <v>50</v>
      </c>
      <c r="G30" t="s">
        <v>49</v>
      </c>
      <c r="H30" t="s">
        <v>50</v>
      </c>
      <c r="I30" t="s">
        <v>10</v>
      </c>
      <c r="J30" t="s">
        <v>137</v>
      </c>
      <c r="K30">
        <v>8</v>
      </c>
      <c r="L30">
        <v>53.33</v>
      </c>
      <c r="M30">
        <v>6</v>
      </c>
      <c r="N30">
        <v>0</v>
      </c>
      <c r="O30" t="s">
        <v>52</v>
      </c>
    </row>
    <row r="31" spans="1:15">
      <c r="A31" s="70">
        <v>43475</v>
      </c>
      <c r="B31" t="s">
        <v>17</v>
      </c>
      <c r="C31" s="71">
        <v>0.35416666666666669</v>
      </c>
      <c r="D31" s="71">
        <v>0.3888888888888889</v>
      </c>
      <c r="E31">
        <v>0.83299999999999996</v>
      </c>
      <c r="F31">
        <v>50</v>
      </c>
      <c r="G31" t="s">
        <v>49</v>
      </c>
      <c r="H31" t="s">
        <v>130</v>
      </c>
      <c r="I31" t="s">
        <v>10</v>
      </c>
      <c r="J31" t="s">
        <v>55</v>
      </c>
      <c r="K31">
        <v>11</v>
      </c>
      <c r="L31">
        <v>91.67</v>
      </c>
      <c r="M31">
        <v>7</v>
      </c>
      <c r="N31">
        <v>0</v>
      </c>
      <c r="O31" t="s">
        <v>52</v>
      </c>
    </row>
    <row r="32" spans="1:15">
      <c r="A32" s="70">
        <v>43478</v>
      </c>
      <c r="B32" t="s">
        <v>18</v>
      </c>
      <c r="C32" s="71">
        <v>0.35416666666666669</v>
      </c>
      <c r="D32" s="71">
        <v>0.3888888888888889</v>
      </c>
      <c r="E32">
        <v>0.83299999999999996</v>
      </c>
      <c r="F32">
        <v>50</v>
      </c>
      <c r="G32" t="s">
        <v>49</v>
      </c>
      <c r="H32" t="s">
        <v>59</v>
      </c>
      <c r="I32" t="s">
        <v>10</v>
      </c>
      <c r="J32" t="s">
        <v>53</v>
      </c>
      <c r="K32">
        <v>12</v>
      </c>
      <c r="L32">
        <v>100</v>
      </c>
      <c r="M32">
        <v>10</v>
      </c>
      <c r="N32">
        <v>2</v>
      </c>
      <c r="O32" t="s">
        <v>52</v>
      </c>
    </row>
    <row r="33" spans="1:15">
      <c r="A33" s="70">
        <v>43478</v>
      </c>
      <c r="B33" t="s">
        <v>18</v>
      </c>
      <c r="C33" s="71">
        <v>0.79166666666666663</v>
      </c>
      <c r="D33" s="71">
        <v>0.82638888888888884</v>
      </c>
      <c r="E33">
        <v>0.83299999999999996</v>
      </c>
      <c r="F33">
        <v>50</v>
      </c>
      <c r="G33" t="s">
        <v>49</v>
      </c>
      <c r="H33" t="s">
        <v>13</v>
      </c>
      <c r="I33" t="s">
        <v>10</v>
      </c>
      <c r="J33" t="s">
        <v>139</v>
      </c>
      <c r="K33">
        <v>17</v>
      </c>
      <c r="L33">
        <v>113.33</v>
      </c>
      <c r="M33">
        <v>15</v>
      </c>
      <c r="N33">
        <v>4</v>
      </c>
      <c r="O33" t="s">
        <v>52</v>
      </c>
    </row>
    <row r="34" spans="1:15">
      <c r="A34" s="70">
        <v>43478</v>
      </c>
      <c r="B34" t="s">
        <v>18</v>
      </c>
      <c r="C34" s="71">
        <v>0.75</v>
      </c>
      <c r="D34" s="71">
        <v>0.78472222222222221</v>
      </c>
      <c r="E34">
        <v>0.83299999999999996</v>
      </c>
      <c r="F34">
        <v>50</v>
      </c>
      <c r="G34" t="s">
        <v>49</v>
      </c>
      <c r="H34" t="s">
        <v>50</v>
      </c>
      <c r="I34" t="s">
        <v>10</v>
      </c>
      <c r="J34" t="s">
        <v>65</v>
      </c>
      <c r="K34">
        <v>13</v>
      </c>
      <c r="L34">
        <v>108.33</v>
      </c>
      <c r="M34">
        <v>12</v>
      </c>
      <c r="N34">
        <v>2</v>
      </c>
      <c r="O34" t="s">
        <v>52</v>
      </c>
    </row>
    <row r="35" spans="1:15">
      <c r="A35" s="70">
        <v>43479</v>
      </c>
      <c r="B35" t="s">
        <v>19</v>
      </c>
      <c r="C35" s="71">
        <v>0.3125</v>
      </c>
      <c r="D35" s="71">
        <v>0.34722222222222227</v>
      </c>
      <c r="E35">
        <v>0.83299999999999996</v>
      </c>
      <c r="F35">
        <v>50</v>
      </c>
      <c r="G35" t="s">
        <v>49</v>
      </c>
      <c r="H35" t="s">
        <v>16</v>
      </c>
      <c r="I35" t="s">
        <v>10</v>
      </c>
      <c r="J35" t="s">
        <v>55</v>
      </c>
      <c r="K35">
        <v>13</v>
      </c>
      <c r="L35">
        <v>108.33</v>
      </c>
      <c r="M35">
        <v>12</v>
      </c>
      <c r="N35">
        <v>2</v>
      </c>
      <c r="O35" t="s">
        <v>52</v>
      </c>
    </row>
    <row r="36" spans="1:15">
      <c r="A36" s="70">
        <v>43479</v>
      </c>
      <c r="B36" t="s">
        <v>19</v>
      </c>
      <c r="C36" s="71">
        <v>0.79166666666666663</v>
      </c>
      <c r="D36" s="71">
        <v>0.82638888888888884</v>
      </c>
      <c r="E36">
        <v>0.83299999999999996</v>
      </c>
      <c r="F36">
        <v>50</v>
      </c>
      <c r="G36" t="s">
        <v>49</v>
      </c>
      <c r="H36" t="s">
        <v>57</v>
      </c>
      <c r="I36" t="s">
        <v>10</v>
      </c>
      <c r="J36" t="s">
        <v>56</v>
      </c>
      <c r="K36">
        <v>15</v>
      </c>
      <c r="L36">
        <v>100</v>
      </c>
      <c r="M36">
        <v>11</v>
      </c>
      <c r="N36">
        <v>2</v>
      </c>
      <c r="O36" t="s">
        <v>52</v>
      </c>
    </row>
    <row r="37" spans="1:15">
      <c r="A37" s="70">
        <v>43479</v>
      </c>
      <c r="B37" t="s">
        <v>19</v>
      </c>
      <c r="C37" s="71">
        <v>0.70833333333333337</v>
      </c>
      <c r="D37" s="71">
        <v>0.74305555555555547</v>
      </c>
      <c r="E37">
        <v>0.83299999999999996</v>
      </c>
      <c r="F37">
        <v>50</v>
      </c>
      <c r="G37" t="s">
        <v>49</v>
      </c>
      <c r="H37" t="s">
        <v>57</v>
      </c>
      <c r="I37" t="s">
        <v>10</v>
      </c>
      <c r="J37" t="s">
        <v>53</v>
      </c>
      <c r="K37">
        <v>12</v>
      </c>
      <c r="L37">
        <v>100</v>
      </c>
      <c r="M37">
        <v>10</v>
      </c>
      <c r="N37">
        <v>4</v>
      </c>
      <c r="O37" t="s">
        <v>52</v>
      </c>
    </row>
    <row r="38" spans="1:15">
      <c r="A38" s="70">
        <v>43479</v>
      </c>
      <c r="B38" t="s">
        <v>19</v>
      </c>
      <c r="C38" s="71">
        <v>0.35416666666666669</v>
      </c>
      <c r="D38" s="71">
        <v>0.3888888888888889</v>
      </c>
      <c r="E38">
        <v>0.83299999999999996</v>
      </c>
      <c r="F38">
        <v>50</v>
      </c>
      <c r="G38" t="s">
        <v>49</v>
      </c>
      <c r="H38" t="s">
        <v>16</v>
      </c>
      <c r="I38" t="s">
        <v>10</v>
      </c>
      <c r="J38" t="s">
        <v>134</v>
      </c>
      <c r="K38">
        <v>13</v>
      </c>
      <c r="L38">
        <v>86.67</v>
      </c>
      <c r="M38">
        <v>11</v>
      </c>
      <c r="N38">
        <v>0</v>
      </c>
      <c r="O38" t="s">
        <v>52</v>
      </c>
    </row>
    <row r="39" spans="1:15">
      <c r="A39" s="70">
        <v>43479</v>
      </c>
      <c r="B39" t="s">
        <v>19</v>
      </c>
      <c r="C39" s="71">
        <v>0.75</v>
      </c>
      <c r="D39" s="71">
        <v>0.78472222222222221</v>
      </c>
      <c r="E39">
        <v>0.83299999999999996</v>
      </c>
      <c r="F39">
        <v>50</v>
      </c>
      <c r="G39" t="s">
        <v>49</v>
      </c>
      <c r="H39" t="s">
        <v>140</v>
      </c>
      <c r="I39" t="s">
        <v>10</v>
      </c>
      <c r="J39" t="s">
        <v>139</v>
      </c>
      <c r="K39">
        <v>16</v>
      </c>
      <c r="L39">
        <v>106.67</v>
      </c>
      <c r="M39">
        <v>15</v>
      </c>
      <c r="N39">
        <v>0</v>
      </c>
      <c r="O39" t="s">
        <v>52</v>
      </c>
    </row>
    <row r="40" spans="1:15">
      <c r="A40" s="70">
        <v>43480</v>
      </c>
      <c r="B40" t="s">
        <v>20</v>
      </c>
      <c r="C40" s="71">
        <v>0.3125</v>
      </c>
      <c r="D40" s="71">
        <v>0.34722222222222227</v>
      </c>
      <c r="E40">
        <v>0.83299999999999996</v>
      </c>
      <c r="F40">
        <v>50</v>
      </c>
      <c r="G40" t="s">
        <v>49</v>
      </c>
      <c r="H40" t="s">
        <v>12</v>
      </c>
      <c r="I40" t="s">
        <v>10</v>
      </c>
      <c r="J40" t="s">
        <v>56</v>
      </c>
      <c r="K40">
        <v>11</v>
      </c>
      <c r="L40">
        <v>73.33</v>
      </c>
      <c r="M40">
        <v>9</v>
      </c>
      <c r="N40">
        <v>0</v>
      </c>
      <c r="O40" t="s">
        <v>52</v>
      </c>
    </row>
    <row r="41" spans="1:15">
      <c r="A41" s="70">
        <v>43480</v>
      </c>
      <c r="B41" t="s">
        <v>20</v>
      </c>
      <c r="C41" s="71">
        <v>0.78125</v>
      </c>
      <c r="D41" s="71">
        <v>0.81597222222222221</v>
      </c>
      <c r="E41">
        <v>0.83299999999999996</v>
      </c>
      <c r="F41">
        <v>50</v>
      </c>
      <c r="G41" t="s">
        <v>49</v>
      </c>
      <c r="H41" t="s">
        <v>50</v>
      </c>
      <c r="I41" t="s">
        <v>10</v>
      </c>
      <c r="J41" t="s">
        <v>65</v>
      </c>
      <c r="K41">
        <v>13</v>
      </c>
      <c r="L41">
        <v>108.33</v>
      </c>
      <c r="M41">
        <v>11</v>
      </c>
      <c r="N41">
        <v>0</v>
      </c>
      <c r="O41" t="s">
        <v>52</v>
      </c>
    </row>
    <row r="42" spans="1:15">
      <c r="A42" s="70">
        <v>43480</v>
      </c>
      <c r="B42" t="s">
        <v>20</v>
      </c>
      <c r="C42" s="71">
        <v>0.35416666666666669</v>
      </c>
      <c r="D42" s="71">
        <v>0.3888888888888889</v>
      </c>
      <c r="E42">
        <v>0.83299999999999996</v>
      </c>
      <c r="F42">
        <v>50</v>
      </c>
      <c r="G42" t="s">
        <v>49</v>
      </c>
      <c r="H42" t="s">
        <v>59</v>
      </c>
      <c r="I42" t="s">
        <v>10</v>
      </c>
      <c r="J42" t="s">
        <v>136</v>
      </c>
      <c r="K42">
        <v>12</v>
      </c>
      <c r="L42">
        <v>100</v>
      </c>
      <c r="M42">
        <v>8</v>
      </c>
      <c r="N42">
        <v>7</v>
      </c>
      <c r="O42" t="s">
        <v>52</v>
      </c>
    </row>
    <row r="43" spans="1:15">
      <c r="A43" s="70">
        <v>43480</v>
      </c>
      <c r="B43" t="s">
        <v>20</v>
      </c>
      <c r="C43" s="71">
        <v>0.73958333333333337</v>
      </c>
      <c r="D43" s="71">
        <v>0.77430555555555547</v>
      </c>
      <c r="E43">
        <v>0.83299999999999996</v>
      </c>
      <c r="F43">
        <v>50</v>
      </c>
      <c r="G43" t="s">
        <v>49</v>
      </c>
      <c r="H43" t="s">
        <v>132</v>
      </c>
      <c r="I43" t="s">
        <v>10</v>
      </c>
      <c r="J43" t="s">
        <v>133</v>
      </c>
      <c r="K43">
        <v>15</v>
      </c>
      <c r="L43">
        <v>100</v>
      </c>
      <c r="M43">
        <v>11</v>
      </c>
      <c r="N43">
        <v>1</v>
      </c>
      <c r="O43" t="s">
        <v>52</v>
      </c>
    </row>
    <row r="44" spans="1:15">
      <c r="A44" s="70">
        <v>43481</v>
      </c>
      <c r="B44" t="s">
        <v>21</v>
      </c>
      <c r="C44" s="71">
        <v>0.77083333333333337</v>
      </c>
      <c r="D44" s="71">
        <v>0.80555555555555547</v>
      </c>
      <c r="E44">
        <v>0.83299999999999996</v>
      </c>
      <c r="F44">
        <v>50</v>
      </c>
      <c r="G44" t="s">
        <v>49</v>
      </c>
      <c r="H44" t="s">
        <v>16</v>
      </c>
      <c r="I44" t="s">
        <v>10</v>
      </c>
      <c r="J44" t="s">
        <v>134</v>
      </c>
      <c r="K44">
        <v>15</v>
      </c>
      <c r="L44">
        <v>100</v>
      </c>
      <c r="M44">
        <v>15</v>
      </c>
      <c r="N44">
        <v>3</v>
      </c>
      <c r="O44" t="s">
        <v>52</v>
      </c>
    </row>
    <row r="45" spans="1:15">
      <c r="A45" s="70">
        <v>43481</v>
      </c>
      <c r="B45" t="s">
        <v>21</v>
      </c>
      <c r="C45" s="71">
        <v>0.72916666666666663</v>
      </c>
      <c r="D45" s="71">
        <v>0.76388888888888884</v>
      </c>
      <c r="E45">
        <v>0.83299999999999996</v>
      </c>
      <c r="F45">
        <v>50</v>
      </c>
      <c r="G45" t="s">
        <v>49</v>
      </c>
      <c r="H45" t="s">
        <v>16</v>
      </c>
      <c r="I45" t="s">
        <v>10</v>
      </c>
      <c r="J45" t="s">
        <v>55</v>
      </c>
      <c r="K45">
        <v>12</v>
      </c>
      <c r="L45">
        <v>100</v>
      </c>
      <c r="M45">
        <v>11</v>
      </c>
      <c r="N45">
        <v>1</v>
      </c>
      <c r="O45" t="s">
        <v>52</v>
      </c>
    </row>
    <row r="46" spans="1:15">
      <c r="A46" s="70">
        <v>43481</v>
      </c>
      <c r="B46" t="s">
        <v>21</v>
      </c>
      <c r="C46" s="71">
        <v>0.35416666666666669</v>
      </c>
      <c r="D46" s="71">
        <v>0.3888888888888889</v>
      </c>
      <c r="E46">
        <v>0.83299999999999996</v>
      </c>
      <c r="F46">
        <v>50</v>
      </c>
      <c r="G46" t="s">
        <v>49</v>
      </c>
      <c r="H46" t="s">
        <v>50</v>
      </c>
      <c r="I46" t="s">
        <v>10</v>
      </c>
      <c r="J46" t="s">
        <v>51</v>
      </c>
      <c r="K46">
        <v>8</v>
      </c>
      <c r="L46">
        <v>57.14</v>
      </c>
      <c r="M46">
        <v>8</v>
      </c>
      <c r="N46">
        <v>0</v>
      </c>
      <c r="O46" t="s">
        <v>52</v>
      </c>
    </row>
    <row r="47" spans="1:15">
      <c r="A47" s="70">
        <v>43481</v>
      </c>
      <c r="B47" t="s">
        <v>21</v>
      </c>
      <c r="C47" s="71">
        <v>0.3125</v>
      </c>
      <c r="D47" s="71">
        <v>0.34722222222222227</v>
      </c>
      <c r="E47">
        <v>0.83299999999999996</v>
      </c>
      <c r="F47">
        <v>50</v>
      </c>
      <c r="G47" t="s">
        <v>49</v>
      </c>
      <c r="H47" t="s">
        <v>50</v>
      </c>
      <c r="I47" t="s">
        <v>10</v>
      </c>
      <c r="J47" t="s">
        <v>65</v>
      </c>
      <c r="K47">
        <v>4</v>
      </c>
      <c r="L47">
        <v>33.33</v>
      </c>
      <c r="M47">
        <v>0</v>
      </c>
      <c r="N47">
        <v>0</v>
      </c>
      <c r="O47" t="s">
        <v>52</v>
      </c>
    </row>
    <row r="48" spans="1:15">
      <c r="A48" s="70">
        <v>43482</v>
      </c>
      <c r="B48" t="s">
        <v>17</v>
      </c>
      <c r="C48" s="71">
        <v>0.72916666666666663</v>
      </c>
      <c r="D48" s="71">
        <v>0.76388888888888884</v>
      </c>
      <c r="E48">
        <v>0.83299999999999996</v>
      </c>
      <c r="F48">
        <v>50</v>
      </c>
      <c r="G48" t="s">
        <v>49</v>
      </c>
      <c r="H48" t="s">
        <v>59</v>
      </c>
      <c r="I48" t="s">
        <v>10</v>
      </c>
      <c r="J48" t="s">
        <v>136</v>
      </c>
      <c r="K48">
        <v>14</v>
      </c>
      <c r="L48">
        <v>116.67</v>
      </c>
      <c r="M48">
        <v>11</v>
      </c>
      <c r="N48">
        <v>5</v>
      </c>
      <c r="O48" t="s">
        <v>52</v>
      </c>
    </row>
    <row r="49" spans="1:15">
      <c r="A49" s="70">
        <v>43482</v>
      </c>
      <c r="B49" t="s">
        <v>17</v>
      </c>
      <c r="C49" s="71">
        <v>0.77083333333333337</v>
      </c>
      <c r="D49" s="71">
        <v>0.80555555555555547</v>
      </c>
      <c r="E49">
        <v>0.83299999999999996</v>
      </c>
      <c r="F49">
        <v>50</v>
      </c>
      <c r="G49" t="s">
        <v>49</v>
      </c>
      <c r="H49" t="s">
        <v>13</v>
      </c>
      <c r="I49" t="s">
        <v>10</v>
      </c>
      <c r="J49" t="s">
        <v>139</v>
      </c>
      <c r="K49">
        <v>19</v>
      </c>
      <c r="L49">
        <v>126.67</v>
      </c>
      <c r="M49">
        <v>16</v>
      </c>
      <c r="N49">
        <v>8</v>
      </c>
      <c r="O49" t="s">
        <v>52</v>
      </c>
    </row>
    <row r="50" spans="1:15">
      <c r="A50" s="70">
        <v>43482</v>
      </c>
      <c r="B50" t="s">
        <v>17</v>
      </c>
      <c r="C50" s="71">
        <v>0.3125</v>
      </c>
      <c r="D50" s="71">
        <v>0.34722222222222227</v>
      </c>
      <c r="E50">
        <v>0.83299999999999996</v>
      </c>
      <c r="F50">
        <v>50</v>
      </c>
      <c r="G50" t="s">
        <v>49</v>
      </c>
      <c r="H50" t="s">
        <v>50</v>
      </c>
      <c r="I50" t="s">
        <v>10</v>
      </c>
      <c r="J50" t="s">
        <v>56</v>
      </c>
      <c r="K50">
        <v>10</v>
      </c>
      <c r="L50">
        <v>66.67</v>
      </c>
      <c r="M50">
        <v>10</v>
      </c>
      <c r="N50">
        <v>0</v>
      </c>
      <c r="O50" t="s">
        <v>52</v>
      </c>
    </row>
    <row r="51" spans="1:15">
      <c r="A51" s="70">
        <v>43482</v>
      </c>
      <c r="B51" t="s">
        <v>17</v>
      </c>
      <c r="C51" s="71">
        <v>0.35416666666666669</v>
      </c>
      <c r="D51" s="71">
        <v>0.3888888888888889</v>
      </c>
      <c r="E51">
        <v>0.83299999999999996</v>
      </c>
      <c r="F51">
        <v>50</v>
      </c>
      <c r="G51" t="s">
        <v>49</v>
      </c>
      <c r="H51" t="s">
        <v>130</v>
      </c>
      <c r="I51" t="s">
        <v>10</v>
      </c>
      <c r="J51" t="s">
        <v>55</v>
      </c>
      <c r="K51">
        <v>14</v>
      </c>
      <c r="L51">
        <v>116.67</v>
      </c>
      <c r="M51">
        <v>9</v>
      </c>
      <c r="N51">
        <v>2</v>
      </c>
      <c r="O51" t="s">
        <v>52</v>
      </c>
    </row>
    <row r="52" spans="1:15">
      <c r="A52" s="70">
        <v>43485</v>
      </c>
      <c r="B52" t="s">
        <v>18</v>
      </c>
      <c r="C52" s="71">
        <v>0.35416666666666669</v>
      </c>
      <c r="D52" s="71">
        <v>0.3888888888888889</v>
      </c>
      <c r="E52">
        <v>0.83299999999999996</v>
      </c>
      <c r="F52">
        <v>50</v>
      </c>
      <c r="G52" t="s">
        <v>49</v>
      </c>
      <c r="H52" t="s">
        <v>59</v>
      </c>
      <c r="I52" t="s">
        <v>10</v>
      </c>
      <c r="J52" t="s">
        <v>53</v>
      </c>
      <c r="K52">
        <v>12</v>
      </c>
      <c r="L52">
        <v>100</v>
      </c>
      <c r="M52">
        <v>10</v>
      </c>
      <c r="N52">
        <v>3</v>
      </c>
      <c r="O52" t="s">
        <v>52</v>
      </c>
    </row>
    <row r="53" spans="1:15">
      <c r="A53" s="70">
        <v>43485</v>
      </c>
      <c r="B53" t="s">
        <v>18</v>
      </c>
      <c r="C53" s="71">
        <v>0.79166666666666663</v>
      </c>
      <c r="D53" s="71">
        <v>0.82638888888888884</v>
      </c>
      <c r="E53">
        <v>0.83299999999999996</v>
      </c>
      <c r="F53">
        <v>50</v>
      </c>
      <c r="G53" t="s">
        <v>49</v>
      </c>
      <c r="H53" t="s">
        <v>13</v>
      </c>
      <c r="I53" t="s">
        <v>10</v>
      </c>
      <c r="J53" t="s">
        <v>139</v>
      </c>
      <c r="K53">
        <v>18</v>
      </c>
      <c r="L53">
        <v>120</v>
      </c>
      <c r="M53">
        <v>17</v>
      </c>
      <c r="N53">
        <v>5</v>
      </c>
      <c r="O53" t="s">
        <v>52</v>
      </c>
    </row>
    <row r="54" spans="1:15">
      <c r="A54" s="70">
        <v>43485</v>
      </c>
      <c r="B54" t="s">
        <v>18</v>
      </c>
      <c r="C54" s="71">
        <v>0.75</v>
      </c>
      <c r="D54" s="71">
        <v>0.78472222222222221</v>
      </c>
      <c r="E54">
        <v>0.83299999999999996</v>
      </c>
      <c r="F54">
        <v>50</v>
      </c>
      <c r="G54" t="s">
        <v>49</v>
      </c>
      <c r="H54" t="s">
        <v>50</v>
      </c>
      <c r="I54" t="s">
        <v>10</v>
      </c>
      <c r="J54" t="s">
        <v>65</v>
      </c>
      <c r="K54">
        <v>13</v>
      </c>
      <c r="L54">
        <v>108.33</v>
      </c>
      <c r="M54">
        <v>10</v>
      </c>
      <c r="N54">
        <v>4</v>
      </c>
      <c r="O54" t="s">
        <v>52</v>
      </c>
    </row>
    <row r="55" spans="1:15">
      <c r="A55" s="70">
        <v>43486</v>
      </c>
      <c r="B55" t="s">
        <v>19</v>
      </c>
      <c r="C55" s="71">
        <v>0.3125</v>
      </c>
      <c r="D55" s="71">
        <v>0.34722222222222227</v>
      </c>
      <c r="E55">
        <v>0.83299999999999996</v>
      </c>
      <c r="F55">
        <v>50</v>
      </c>
      <c r="G55" t="s">
        <v>49</v>
      </c>
      <c r="H55" t="s">
        <v>16</v>
      </c>
      <c r="I55" t="s">
        <v>10</v>
      </c>
      <c r="J55" t="s">
        <v>55</v>
      </c>
      <c r="K55">
        <v>13</v>
      </c>
      <c r="L55">
        <v>108.33</v>
      </c>
      <c r="M55">
        <v>12</v>
      </c>
      <c r="N55">
        <v>3</v>
      </c>
      <c r="O55" t="s">
        <v>52</v>
      </c>
    </row>
    <row r="56" spans="1:15">
      <c r="A56" s="70">
        <v>43486</v>
      </c>
      <c r="B56" t="s">
        <v>19</v>
      </c>
      <c r="C56" s="71">
        <v>0.75</v>
      </c>
      <c r="D56" s="71">
        <v>0.78472222222222221</v>
      </c>
      <c r="E56">
        <v>0.83299999999999996</v>
      </c>
      <c r="F56">
        <v>50</v>
      </c>
      <c r="G56" t="s">
        <v>49</v>
      </c>
      <c r="H56" t="s">
        <v>57</v>
      </c>
      <c r="I56" t="s">
        <v>10</v>
      </c>
      <c r="J56" t="s">
        <v>56</v>
      </c>
      <c r="K56">
        <v>15</v>
      </c>
      <c r="L56">
        <v>100</v>
      </c>
      <c r="M56">
        <v>12</v>
      </c>
      <c r="N56">
        <v>8</v>
      </c>
      <c r="O56" t="s">
        <v>52</v>
      </c>
    </row>
    <row r="57" spans="1:15">
      <c r="A57" s="70">
        <v>43486</v>
      </c>
      <c r="B57" t="s">
        <v>19</v>
      </c>
      <c r="C57" s="71">
        <v>0.70833333333333337</v>
      </c>
      <c r="D57" s="71">
        <v>0.74305555555555547</v>
      </c>
      <c r="E57">
        <v>0.83299999999999996</v>
      </c>
      <c r="F57">
        <v>50</v>
      </c>
      <c r="G57" t="s">
        <v>49</v>
      </c>
      <c r="H57" t="s">
        <v>59</v>
      </c>
      <c r="I57" t="s">
        <v>10</v>
      </c>
      <c r="J57" t="s">
        <v>53</v>
      </c>
      <c r="K57">
        <v>13</v>
      </c>
      <c r="L57">
        <v>108.33</v>
      </c>
      <c r="M57">
        <v>10</v>
      </c>
      <c r="N57">
        <v>9</v>
      </c>
      <c r="O57" t="s">
        <v>52</v>
      </c>
    </row>
    <row r="58" spans="1:15">
      <c r="A58" s="70">
        <v>43486</v>
      </c>
      <c r="B58" t="s">
        <v>19</v>
      </c>
      <c r="C58" s="71">
        <v>0.35416666666666669</v>
      </c>
      <c r="D58" s="71">
        <v>0.3888888888888889</v>
      </c>
      <c r="E58">
        <v>0.83299999999999996</v>
      </c>
      <c r="F58">
        <v>50</v>
      </c>
      <c r="G58" t="s">
        <v>49</v>
      </c>
      <c r="H58" t="s">
        <v>16</v>
      </c>
      <c r="I58" t="s">
        <v>10</v>
      </c>
      <c r="J58" t="s">
        <v>134</v>
      </c>
      <c r="K58">
        <v>14</v>
      </c>
      <c r="L58">
        <v>93.33</v>
      </c>
      <c r="M58">
        <v>14</v>
      </c>
      <c r="N58">
        <v>0</v>
      </c>
      <c r="O58" t="s">
        <v>52</v>
      </c>
    </row>
    <row r="59" spans="1:15">
      <c r="A59" s="70">
        <v>43487</v>
      </c>
      <c r="B59" t="s">
        <v>20</v>
      </c>
      <c r="C59" s="71">
        <v>0.3125</v>
      </c>
      <c r="D59" s="71">
        <v>0.34722222222222227</v>
      </c>
      <c r="E59">
        <v>0.83299999999999996</v>
      </c>
      <c r="F59">
        <v>50</v>
      </c>
      <c r="G59" t="s">
        <v>49</v>
      </c>
      <c r="H59" t="s">
        <v>12</v>
      </c>
      <c r="I59" t="s">
        <v>10</v>
      </c>
      <c r="J59" t="s">
        <v>56</v>
      </c>
      <c r="K59">
        <v>15</v>
      </c>
      <c r="L59">
        <v>100</v>
      </c>
      <c r="M59">
        <v>15</v>
      </c>
      <c r="N59">
        <v>0</v>
      </c>
      <c r="O59" t="s">
        <v>52</v>
      </c>
    </row>
    <row r="60" spans="1:15">
      <c r="A60" s="70">
        <v>43487</v>
      </c>
      <c r="B60" t="s">
        <v>20</v>
      </c>
      <c r="C60" s="71">
        <v>0.78125</v>
      </c>
      <c r="D60" s="71">
        <v>0.81597222222222221</v>
      </c>
      <c r="E60">
        <v>0.83299999999999996</v>
      </c>
      <c r="F60">
        <v>50</v>
      </c>
      <c r="G60" t="s">
        <v>49</v>
      </c>
      <c r="H60" t="s">
        <v>50</v>
      </c>
      <c r="I60" t="s">
        <v>10</v>
      </c>
      <c r="J60" t="s">
        <v>65</v>
      </c>
      <c r="K60">
        <v>13</v>
      </c>
      <c r="L60">
        <v>108.33</v>
      </c>
      <c r="M60">
        <v>11</v>
      </c>
      <c r="N60">
        <v>4</v>
      </c>
      <c r="O60" t="s">
        <v>52</v>
      </c>
    </row>
    <row r="61" spans="1:15">
      <c r="A61" s="70">
        <v>43487</v>
      </c>
      <c r="B61" t="s">
        <v>20</v>
      </c>
      <c r="C61" s="71">
        <v>0.35416666666666669</v>
      </c>
      <c r="D61" s="71">
        <v>0.3888888888888889</v>
      </c>
      <c r="E61">
        <v>0.83299999999999996</v>
      </c>
      <c r="F61">
        <v>50</v>
      </c>
      <c r="G61" t="s">
        <v>49</v>
      </c>
      <c r="H61" t="s">
        <v>59</v>
      </c>
      <c r="I61" t="s">
        <v>10</v>
      </c>
      <c r="J61" t="s">
        <v>136</v>
      </c>
      <c r="K61">
        <v>12</v>
      </c>
      <c r="L61">
        <v>100</v>
      </c>
      <c r="M61">
        <v>10</v>
      </c>
      <c r="N61">
        <v>4</v>
      </c>
      <c r="O61" t="s">
        <v>52</v>
      </c>
    </row>
    <row r="62" spans="1:15">
      <c r="A62" s="70">
        <v>43487</v>
      </c>
      <c r="B62" t="s">
        <v>20</v>
      </c>
      <c r="C62" s="71">
        <v>0.73958333333333337</v>
      </c>
      <c r="D62" s="71">
        <v>0.77430555555555547</v>
      </c>
      <c r="E62">
        <v>0.83299999999999996</v>
      </c>
      <c r="F62">
        <v>50</v>
      </c>
      <c r="G62" t="s">
        <v>49</v>
      </c>
      <c r="H62" t="s">
        <v>132</v>
      </c>
      <c r="I62" t="s">
        <v>10</v>
      </c>
      <c r="J62" t="s">
        <v>133</v>
      </c>
      <c r="K62">
        <v>11</v>
      </c>
      <c r="L62">
        <v>73.33</v>
      </c>
      <c r="M62">
        <v>9</v>
      </c>
      <c r="N62">
        <v>0</v>
      </c>
      <c r="O62" t="s">
        <v>52</v>
      </c>
    </row>
    <row r="63" spans="1:15">
      <c r="A63" s="70">
        <v>43488</v>
      </c>
      <c r="B63" t="s">
        <v>21</v>
      </c>
      <c r="C63" s="71">
        <v>0.77083333333333337</v>
      </c>
      <c r="D63" s="71">
        <v>0.80555555555555547</v>
      </c>
      <c r="E63">
        <v>0.83299999999999996</v>
      </c>
      <c r="F63">
        <v>50</v>
      </c>
      <c r="G63" t="s">
        <v>49</v>
      </c>
      <c r="H63" t="s">
        <v>16</v>
      </c>
      <c r="I63" t="s">
        <v>10</v>
      </c>
      <c r="J63" t="s">
        <v>134</v>
      </c>
      <c r="K63">
        <v>15</v>
      </c>
      <c r="L63">
        <v>100</v>
      </c>
      <c r="M63">
        <v>12</v>
      </c>
      <c r="N63">
        <v>3</v>
      </c>
      <c r="O63" t="s">
        <v>52</v>
      </c>
    </row>
    <row r="64" spans="1:15">
      <c r="A64" s="70">
        <v>43488</v>
      </c>
      <c r="B64" t="s">
        <v>21</v>
      </c>
      <c r="C64" s="71">
        <v>0.72916666666666663</v>
      </c>
      <c r="D64" s="71">
        <v>0.76388888888888884</v>
      </c>
      <c r="E64">
        <v>0.83299999999999996</v>
      </c>
      <c r="F64">
        <v>50</v>
      </c>
      <c r="G64" t="s">
        <v>49</v>
      </c>
      <c r="H64" t="s">
        <v>16</v>
      </c>
      <c r="I64" t="s">
        <v>10</v>
      </c>
      <c r="J64" t="s">
        <v>55</v>
      </c>
      <c r="K64">
        <v>12</v>
      </c>
      <c r="L64">
        <v>100</v>
      </c>
      <c r="M64">
        <v>11</v>
      </c>
      <c r="N64">
        <v>9</v>
      </c>
      <c r="O64" t="s">
        <v>52</v>
      </c>
    </row>
    <row r="65" spans="1:15">
      <c r="A65" s="70">
        <v>43488</v>
      </c>
      <c r="B65" t="s">
        <v>21</v>
      </c>
      <c r="C65" s="71">
        <v>0.35416666666666669</v>
      </c>
      <c r="D65" s="71">
        <v>0.3888888888888889</v>
      </c>
      <c r="E65">
        <v>0.83299999999999996</v>
      </c>
      <c r="F65">
        <v>50</v>
      </c>
      <c r="G65" t="s">
        <v>49</v>
      </c>
      <c r="H65" t="s">
        <v>12</v>
      </c>
      <c r="I65" t="s">
        <v>10</v>
      </c>
      <c r="J65" t="s">
        <v>51</v>
      </c>
      <c r="K65">
        <v>11</v>
      </c>
      <c r="L65">
        <v>78.569999999999993</v>
      </c>
      <c r="M65">
        <v>8</v>
      </c>
      <c r="N65">
        <v>0</v>
      </c>
      <c r="O65" t="s">
        <v>52</v>
      </c>
    </row>
    <row r="66" spans="1:15">
      <c r="A66" s="70">
        <v>43489</v>
      </c>
      <c r="B66" t="s">
        <v>17</v>
      </c>
      <c r="C66" s="71">
        <v>0.72916666666666663</v>
      </c>
      <c r="D66" s="71">
        <v>0.76388888888888884</v>
      </c>
      <c r="E66">
        <v>0.83299999999999996</v>
      </c>
      <c r="F66">
        <v>50</v>
      </c>
      <c r="G66" t="s">
        <v>49</v>
      </c>
      <c r="H66" t="s">
        <v>59</v>
      </c>
      <c r="I66" t="s">
        <v>10</v>
      </c>
      <c r="J66" t="s">
        <v>136</v>
      </c>
      <c r="K66">
        <v>12</v>
      </c>
      <c r="L66">
        <v>100</v>
      </c>
      <c r="M66">
        <v>8</v>
      </c>
      <c r="N66">
        <v>4</v>
      </c>
      <c r="O66" t="s">
        <v>52</v>
      </c>
    </row>
    <row r="67" spans="1:15">
      <c r="A67" s="70">
        <v>43489</v>
      </c>
      <c r="B67" t="s">
        <v>17</v>
      </c>
      <c r="C67" s="71">
        <v>0.77083333333333337</v>
      </c>
      <c r="D67" s="71">
        <v>0.80555555555555547</v>
      </c>
      <c r="E67">
        <v>0.83299999999999996</v>
      </c>
      <c r="F67">
        <v>50</v>
      </c>
      <c r="G67" t="s">
        <v>49</v>
      </c>
      <c r="H67" t="s">
        <v>13</v>
      </c>
      <c r="I67" t="s">
        <v>10</v>
      </c>
      <c r="J67" t="s">
        <v>139</v>
      </c>
      <c r="K67">
        <v>18</v>
      </c>
      <c r="L67">
        <v>120</v>
      </c>
      <c r="M67">
        <v>13</v>
      </c>
      <c r="N67">
        <v>9</v>
      </c>
      <c r="O67" t="s">
        <v>52</v>
      </c>
    </row>
    <row r="68" spans="1:15">
      <c r="A68" s="70">
        <v>43489</v>
      </c>
      <c r="B68" t="s">
        <v>17</v>
      </c>
      <c r="C68" s="71">
        <v>0.3125</v>
      </c>
      <c r="D68" s="71">
        <v>0.34722222222222227</v>
      </c>
      <c r="E68">
        <v>0.83299999999999996</v>
      </c>
      <c r="F68">
        <v>50</v>
      </c>
      <c r="G68" t="s">
        <v>49</v>
      </c>
      <c r="H68" t="s">
        <v>50</v>
      </c>
      <c r="I68" t="s">
        <v>10</v>
      </c>
      <c r="J68" t="s">
        <v>56</v>
      </c>
      <c r="K68">
        <v>14</v>
      </c>
      <c r="L68">
        <v>93.33</v>
      </c>
      <c r="M68">
        <v>13</v>
      </c>
      <c r="N68">
        <v>0</v>
      </c>
      <c r="O68" t="s">
        <v>52</v>
      </c>
    </row>
    <row r="69" spans="1:15">
      <c r="A69" s="70">
        <v>43489</v>
      </c>
      <c r="B69" t="s">
        <v>17</v>
      </c>
      <c r="C69" s="71">
        <v>0.35416666666666669</v>
      </c>
      <c r="D69" s="71">
        <v>0.3888888888888889</v>
      </c>
      <c r="E69">
        <v>0.83299999999999996</v>
      </c>
      <c r="F69">
        <v>50</v>
      </c>
      <c r="G69" t="s">
        <v>49</v>
      </c>
      <c r="H69" t="s">
        <v>130</v>
      </c>
      <c r="I69" t="s">
        <v>10</v>
      </c>
      <c r="J69" t="s">
        <v>55</v>
      </c>
      <c r="K69">
        <v>11</v>
      </c>
      <c r="L69">
        <v>91.67</v>
      </c>
      <c r="M69">
        <v>10</v>
      </c>
      <c r="N69">
        <v>0</v>
      </c>
      <c r="O69" t="s">
        <v>52</v>
      </c>
    </row>
    <row r="70" spans="1:15">
      <c r="A70" s="70">
        <v>43492</v>
      </c>
      <c r="B70" t="s">
        <v>18</v>
      </c>
      <c r="C70" s="71">
        <v>0.35416666666666669</v>
      </c>
      <c r="D70" s="71">
        <v>0.3888888888888889</v>
      </c>
      <c r="E70">
        <v>0.83299999999999996</v>
      </c>
      <c r="F70">
        <v>50</v>
      </c>
      <c r="G70" t="s">
        <v>49</v>
      </c>
      <c r="H70" t="s">
        <v>59</v>
      </c>
      <c r="I70" t="s">
        <v>10</v>
      </c>
      <c r="J70" t="s">
        <v>53</v>
      </c>
      <c r="K70">
        <v>12</v>
      </c>
      <c r="L70">
        <v>100</v>
      </c>
      <c r="M70">
        <v>10</v>
      </c>
      <c r="N70">
        <v>10</v>
      </c>
      <c r="O70" t="s">
        <v>52</v>
      </c>
    </row>
    <row r="71" spans="1:15">
      <c r="A71" s="70">
        <v>43492</v>
      </c>
      <c r="B71" t="s">
        <v>18</v>
      </c>
      <c r="C71" s="71">
        <v>0.79166666666666663</v>
      </c>
      <c r="D71" s="71">
        <v>0.82638888888888884</v>
      </c>
      <c r="E71">
        <v>0.83299999999999996</v>
      </c>
      <c r="F71">
        <v>50</v>
      </c>
      <c r="G71" t="s">
        <v>49</v>
      </c>
      <c r="H71" t="s">
        <v>12</v>
      </c>
      <c r="I71" t="s">
        <v>10</v>
      </c>
      <c r="J71" t="s">
        <v>56</v>
      </c>
      <c r="K71">
        <v>16</v>
      </c>
      <c r="L71">
        <v>106.67</v>
      </c>
      <c r="M71">
        <v>11</v>
      </c>
      <c r="N71">
        <v>10</v>
      </c>
      <c r="O71" t="s">
        <v>52</v>
      </c>
    </row>
    <row r="72" spans="1:15">
      <c r="A72" s="70">
        <v>43492</v>
      </c>
      <c r="B72" t="s">
        <v>18</v>
      </c>
      <c r="C72" s="71">
        <v>0.75</v>
      </c>
      <c r="D72" s="71">
        <v>0.78472222222222221</v>
      </c>
      <c r="E72">
        <v>0.83299999999999996</v>
      </c>
      <c r="F72">
        <v>50</v>
      </c>
      <c r="G72" t="s">
        <v>49</v>
      </c>
      <c r="H72" t="s">
        <v>50</v>
      </c>
      <c r="I72" t="s">
        <v>10</v>
      </c>
      <c r="J72" t="s">
        <v>65</v>
      </c>
      <c r="K72">
        <v>12</v>
      </c>
      <c r="L72">
        <v>100</v>
      </c>
      <c r="M72">
        <v>8</v>
      </c>
      <c r="N72">
        <v>0</v>
      </c>
      <c r="O72" t="s">
        <v>52</v>
      </c>
    </row>
    <row r="73" spans="1:15">
      <c r="A73" s="70">
        <v>43492</v>
      </c>
      <c r="B73" t="s">
        <v>18</v>
      </c>
      <c r="C73" s="71">
        <v>0.70833333333333337</v>
      </c>
      <c r="D73" s="71">
        <v>0.74305555555555547</v>
      </c>
      <c r="E73">
        <v>0.83299999999999996</v>
      </c>
      <c r="F73">
        <v>50</v>
      </c>
      <c r="G73" t="s">
        <v>49</v>
      </c>
      <c r="H73" t="s">
        <v>12</v>
      </c>
      <c r="I73" t="s">
        <v>10</v>
      </c>
      <c r="J73" t="s">
        <v>51</v>
      </c>
      <c r="K73">
        <v>15</v>
      </c>
      <c r="L73">
        <v>107.14</v>
      </c>
      <c r="M73">
        <v>9</v>
      </c>
      <c r="N73">
        <v>1</v>
      </c>
      <c r="O73" t="s">
        <v>52</v>
      </c>
    </row>
    <row r="74" spans="1:15">
      <c r="A74" s="70">
        <v>43493</v>
      </c>
      <c r="B74" t="s">
        <v>19</v>
      </c>
      <c r="C74" s="71">
        <v>0.3125</v>
      </c>
      <c r="D74" s="71">
        <v>0.34722222222222227</v>
      </c>
      <c r="E74">
        <v>0.83299999999999996</v>
      </c>
      <c r="F74">
        <v>50</v>
      </c>
      <c r="G74" t="s">
        <v>49</v>
      </c>
      <c r="H74" t="s">
        <v>16</v>
      </c>
      <c r="I74" t="s">
        <v>10</v>
      </c>
      <c r="J74" t="s">
        <v>55</v>
      </c>
      <c r="K74">
        <v>14</v>
      </c>
      <c r="L74">
        <v>116.67</v>
      </c>
      <c r="M74">
        <v>13</v>
      </c>
      <c r="N74">
        <v>3</v>
      </c>
      <c r="O74" t="s">
        <v>52</v>
      </c>
    </row>
    <row r="75" spans="1:15">
      <c r="A75" s="70">
        <v>43493</v>
      </c>
      <c r="B75" t="s">
        <v>19</v>
      </c>
      <c r="C75" s="71">
        <v>0.75694444444444453</v>
      </c>
      <c r="D75" s="71">
        <v>0.79166666666666663</v>
      </c>
      <c r="E75">
        <v>0.83299999999999996</v>
      </c>
      <c r="F75">
        <v>50</v>
      </c>
      <c r="G75" t="s">
        <v>49</v>
      </c>
      <c r="H75" t="s">
        <v>57</v>
      </c>
      <c r="I75" t="s">
        <v>10</v>
      </c>
      <c r="J75" t="s">
        <v>56</v>
      </c>
      <c r="K75">
        <v>15</v>
      </c>
      <c r="L75">
        <v>100</v>
      </c>
      <c r="M75">
        <v>11</v>
      </c>
      <c r="N75">
        <v>4</v>
      </c>
      <c r="O75" t="s">
        <v>52</v>
      </c>
    </row>
    <row r="76" spans="1:15">
      <c r="A76" s="70">
        <v>43493</v>
      </c>
      <c r="B76" t="s">
        <v>19</v>
      </c>
      <c r="C76" s="71">
        <v>0.70833333333333337</v>
      </c>
      <c r="D76" s="71">
        <v>0.74305555555555547</v>
      </c>
      <c r="E76">
        <v>0.83299999999999996</v>
      </c>
      <c r="F76">
        <v>50</v>
      </c>
      <c r="G76" t="s">
        <v>49</v>
      </c>
      <c r="H76" t="s">
        <v>59</v>
      </c>
      <c r="I76" t="s">
        <v>10</v>
      </c>
      <c r="J76" t="s">
        <v>53</v>
      </c>
      <c r="K76">
        <v>12</v>
      </c>
      <c r="L76">
        <v>100</v>
      </c>
      <c r="M76">
        <v>12</v>
      </c>
      <c r="N76">
        <v>5</v>
      </c>
      <c r="O76" t="s">
        <v>52</v>
      </c>
    </row>
    <row r="77" spans="1:15">
      <c r="A77" s="70">
        <v>43493</v>
      </c>
      <c r="B77" t="s">
        <v>19</v>
      </c>
      <c r="C77" s="71">
        <v>0.35416666666666669</v>
      </c>
      <c r="D77" s="71">
        <v>0.3888888888888889</v>
      </c>
      <c r="E77">
        <v>0.83299999999999996</v>
      </c>
      <c r="F77">
        <v>50</v>
      </c>
      <c r="G77" t="s">
        <v>49</v>
      </c>
      <c r="H77" t="s">
        <v>16</v>
      </c>
      <c r="I77" t="s">
        <v>10</v>
      </c>
      <c r="J77" t="s">
        <v>134</v>
      </c>
      <c r="K77">
        <v>15</v>
      </c>
      <c r="L77">
        <v>100</v>
      </c>
      <c r="M77">
        <v>12</v>
      </c>
      <c r="N77">
        <v>0</v>
      </c>
      <c r="O77" t="s">
        <v>52</v>
      </c>
    </row>
    <row r="78" spans="1:15">
      <c r="A78" s="70">
        <v>43494</v>
      </c>
      <c r="B78" t="s">
        <v>20</v>
      </c>
      <c r="C78" s="71">
        <v>0.3125</v>
      </c>
      <c r="D78" s="71">
        <v>0.34722222222222227</v>
      </c>
      <c r="E78">
        <v>0.83299999999999996</v>
      </c>
      <c r="F78">
        <v>50</v>
      </c>
      <c r="G78" t="s">
        <v>49</v>
      </c>
      <c r="H78" t="s">
        <v>12</v>
      </c>
      <c r="I78" t="s">
        <v>10</v>
      </c>
      <c r="J78" t="s">
        <v>56</v>
      </c>
      <c r="K78">
        <v>12</v>
      </c>
      <c r="L78">
        <v>80</v>
      </c>
      <c r="M78">
        <v>11</v>
      </c>
      <c r="N78">
        <v>0</v>
      </c>
      <c r="O78" t="s">
        <v>52</v>
      </c>
    </row>
    <row r="79" spans="1:15">
      <c r="A79" s="70">
        <v>43494</v>
      </c>
      <c r="B79" t="s">
        <v>20</v>
      </c>
      <c r="C79" s="71">
        <v>0.78125</v>
      </c>
      <c r="D79" s="71">
        <v>0.81597222222222221</v>
      </c>
      <c r="E79">
        <v>0.83299999999999996</v>
      </c>
      <c r="F79">
        <v>50</v>
      </c>
      <c r="G79" t="s">
        <v>49</v>
      </c>
      <c r="H79" t="s">
        <v>50</v>
      </c>
      <c r="I79" t="s">
        <v>10</v>
      </c>
      <c r="J79" t="s">
        <v>65</v>
      </c>
      <c r="K79">
        <v>13</v>
      </c>
      <c r="L79">
        <v>108.33</v>
      </c>
      <c r="M79">
        <v>11</v>
      </c>
      <c r="N79">
        <v>5</v>
      </c>
      <c r="O79" t="s">
        <v>52</v>
      </c>
    </row>
    <row r="80" spans="1:15">
      <c r="A80" s="70">
        <v>43494</v>
      </c>
      <c r="B80" t="s">
        <v>20</v>
      </c>
      <c r="C80" s="71">
        <v>0.35416666666666669</v>
      </c>
      <c r="D80" s="71">
        <v>0.3888888888888889</v>
      </c>
      <c r="E80">
        <v>0.83299999999999996</v>
      </c>
      <c r="F80">
        <v>50</v>
      </c>
      <c r="G80" t="s">
        <v>49</v>
      </c>
      <c r="H80" t="s">
        <v>59</v>
      </c>
      <c r="I80" t="s">
        <v>10</v>
      </c>
      <c r="J80" t="s">
        <v>136</v>
      </c>
      <c r="K80">
        <v>12</v>
      </c>
      <c r="L80">
        <v>100</v>
      </c>
      <c r="M80">
        <v>9</v>
      </c>
      <c r="N80">
        <v>0</v>
      </c>
      <c r="O80" t="s">
        <v>52</v>
      </c>
    </row>
    <row r="81" spans="1:15">
      <c r="A81" s="70">
        <v>43494</v>
      </c>
      <c r="B81" t="s">
        <v>20</v>
      </c>
      <c r="C81" s="71">
        <v>0.73958333333333337</v>
      </c>
      <c r="D81" s="71">
        <v>0.77430555555555547</v>
      </c>
      <c r="E81">
        <v>0.83299999999999996</v>
      </c>
      <c r="F81">
        <v>50</v>
      </c>
      <c r="G81" t="s">
        <v>49</v>
      </c>
      <c r="H81" t="s">
        <v>132</v>
      </c>
      <c r="I81" t="s">
        <v>10</v>
      </c>
      <c r="J81" t="s">
        <v>133</v>
      </c>
      <c r="K81">
        <v>15</v>
      </c>
      <c r="L81">
        <v>100</v>
      </c>
      <c r="M81">
        <v>14</v>
      </c>
      <c r="N81">
        <v>1</v>
      </c>
      <c r="O81" t="s">
        <v>52</v>
      </c>
    </row>
    <row r="82" spans="1:15">
      <c r="A82" s="70">
        <v>43495</v>
      </c>
      <c r="B82" t="s">
        <v>21</v>
      </c>
      <c r="C82" s="71">
        <v>0.77083333333333337</v>
      </c>
      <c r="D82" s="71">
        <v>0.80555555555555547</v>
      </c>
      <c r="E82">
        <v>0.83299999999999996</v>
      </c>
      <c r="F82">
        <v>50</v>
      </c>
      <c r="G82" t="s">
        <v>49</v>
      </c>
      <c r="H82" t="s">
        <v>16</v>
      </c>
      <c r="I82" t="s">
        <v>10</v>
      </c>
      <c r="J82" t="s">
        <v>134</v>
      </c>
      <c r="K82">
        <v>16</v>
      </c>
      <c r="L82">
        <v>106.67</v>
      </c>
      <c r="M82">
        <v>15</v>
      </c>
      <c r="N82">
        <v>7</v>
      </c>
      <c r="O82" t="s">
        <v>52</v>
      </c>
    </row>
    <row r="83" spans="1:15">
      <c r="A83" s="70">
        <v>43495</v>
      </c>
      <c r="B83" t="s">
        <v>21</v>
      </c>
      <c r="C83" s="71">
        <v>0.72916666666666663</v>
      </c>
      <c r="D83" s="71">
        <v>0.76388888888888884</v>
      </c>
      <c r="E83">
        <v>0.83299999999999996</v>
      </c>
      <c r="F83">
        <v>50</v>
      </c>
      <c r="G83" t="s">
        <v>49</v>
      </c>
      <c r="H83" t="s">
        <v>16</v>
      </c>
      <c r="I83" t="s">
        <v>10</v>
      </c>
      <c r="J83" t="s">
        <v>55</v>
      </c>
      <c r="K83">
        <v>14</v>
      </c>
      <c r="L83">
        <v>116.67</v>
      </c>
      <c r="M83">
        <v>13</v>
      </c>
      <c r="N83">
        <v>8</v>
      </c>
      <c r="O83" t="s">
        <v>52</v>
      </c>
    </row>
    <row r="84" spans="1:15">
      <c r="A84" s="70">
        <v>43495</v>
      </c>
      <c r="B84" t="s">
        <v>21</v>
      </c>
      <c r="C84" s="71">
        <v>0.35416666666666669</v>
      </c>
      <c r="D84" s="71">
        <v>0.3888888888888889</v>
      </c>
      <c r="E84">
        <v>0.83299999999999996</v>
      </c>
      <c r="F84">
        <v>50</v>
      </c>
      <c r="G84" t="s">
        <v>49</v>
      </c>
      <c r="H84" t="s">
        <v>15</v>
      </c>
      <c r="I84" t="s">
        <v>10</v>
      </c>
      <c r="J84" t="s">
        <v>51</v>
      </c>
      <c r="K84">
        <v>11</v>
      </c>
      <c r="L84">
        <v>78.569999999999993</v>
      </c>
      <c r="M84">
        <v>9</v>
      </c>
      <c r="N84">
        <v>0</v>
      </c>
      <c r="O84" t="s">
        <v>52</v>
      </c>
    </row>
    <row r="85" spans="1:15">
      <c r="A85" s="70">
        <v>43495</v>
      </c>
      <c r="B85" t="s">
        <v>21</v>
      </c>
      <c r="C85" s="71">
        <v>0.3125</v>
      </c>
      <c r="D85" s="71">
        <v>0.34722222222222227</v>
      </c>
      <c r="E85">
        <v>0.83299999999999996</v>
      </c>
      <c r="F85">
        <v>50</v>
      </c>
      <c r="G85" t="s">
        <v>49</v>
      </c>
      <c r="H85" t="s">
        <v>59</v>
      </c>
      <c r="I85" t="s">
        <v>10</v>
      </c>
      <c r="J85" t="s">
        <v>53</v>
      </c>
      <c r="K85">
        <v>9</v>
      </c>
      <c r="L85">
        <v>75</v>
      </c>
      <c r="M85">
        <v>9</v>
      </c>
      <c r="N85">
        <v>0</v>
      </c>
      <c r="O85" t="s">
        <v>52</v>
      </c>
    </row>
    <row r="86" spans="1:15">
      <c r="A86" s="70">
        <v>43496</v>
      </c>
      <c r="B86" t="s">
        <v>17</v>
      </c>
      <c r="C86" s="71">
        <v>0.72916666666666663</v>
      </c>
      <c r="D86" s="71">
        <v>0.76388888888888884</v>
      </c>
      <c r="E86">
        <v>0.83299999999999996</v>
      </c>
      <c r="F86">
        <v>50</v>
      </c>
      <c r="G86" t="s">
        <v>49</v>
      </c>
      <c r="H86" t="s">
        <v>59</v>
      </c>
      <c r="I86" t="s">
        <v>10</v>
      </c>
      <c r="J86" t="s">
        <v>136</v>
      </c>
      <c r="K86">
        <v>12</v>
      </c>
      <c r="L86">
        <v>100</v>
      </c>
      <c r="M86">
        <v>11</v>
      </c>
      <c r="N86">
        <v>10</v>
      </c>
      <c r="O86" t="s">
        <v>52</v>
      </c>
    </row>
    <row r="87" spans="1:15">
      <c r="A87" s="70">
        <v>43496</v>
      </c>
      <c r="B87" t="s">
        <v>17</v>
      </c>
      <c r="C87" s="71">
        <v>0.77083333333333337</v>
      </c>
      <c r="D87" s="71">
        <v>0.80555555555555547</v>
      </c>
      <c r="E87">
        <v>0.83299999999999996</v>
      </c>
      <c r="F87">
        <v>50</v>
      </c>
      <c r="G87" t="s">
        <v>49</v>
      </c>
      <c r="H87" t="s">
        <v>13</v>
      </c>
      <c r="I87" t="s">
        <v>10</v>
      </c>
      <c r="J87" t="s">
        <v>139</v>
      </c>
      <c r="K87">
        <v>17</v>
      </c>
      <c r="L87">
        <v>113.33</v>
      </c>
      <c r="M87">
        <v>15</v>
      </c>
      <c r="N87">
        <v>16</v>
      </c>
      <c r="O87" t="s">
        <v>52</v>
      </c>
    </row>
    <row r="88" spans="1:15">
      <c r="A88" s="70">
        <v>43496</v>
      </c>
      <c r="B88" t="s">
        <v>17</v>
      </c>
      <c r="C88" s="71">
        <v>0.3125</v>
      </c>
      <c r="D88" s="71">
        <v>0.34722222222222227</v>
      </c>
      <c r="E88">
        <v>0.83299999999999996</v>
      </c>
      <c r="F88">
        <v>50</v>
      </c>
      <c r="G88" t="s">
        <v>49</v>
      </c>
      <c r="H88" t="s">
        <v>50</v>
      </c>
      <c r="I88" t="s">
        <v>10</v>
      </c>
      <c r="J88" t="s">
        <v>56</v>
      </c>
      <c r="K88">
        <v>11</v>
      </c>
      <c r="L88">
        <v>73.33</v>
      </c>
      <c r="M88">
        <v>10</v>
      </c>
      <c r="N88">
        <v>0</v>
      </c>
      <c r="O88" t="s">
        <v>52</v>
      </c>
    </row>
    <row r="89" spans="1:15">
      <c r="A89" s="70">
        <v>43496</v>
      </c>
      <c r="B89" t="s">
        <v>17</v>
      </c>
      <c r="C89" s="71">
        <v>0.35416666666666669</v>
      </c>
      <c r="D89" s="71">
        <v>0.3888888888888889</v>
      </c>
      <c r="E89">
        <v>0.83299999999999996</v>
      </c>
      <c r="F89">
        <v>50</v>
      </c>
      <c r="G89" t="s">
        <v>49</v>
      </c>
      <c r="H89" t="s">
        <v>130</v>
      </c>
      <c r="I89" t="s">
        <v>10</v>
      </c>
      <c r="J89" t="s">
        <v>55</v>
      </c>
      <c r="K89">
        <v>11</v>
      </c>
      <c r="L89">
        <v>91.67</v>
      </c>
      <c r="M89">
        <v>10</v>
      </c>
      <c r="N89">
        <v>1</v>
      </c>
      <c r="O89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94"/>
  <sheetViews>
    <sheetView rightToLeft="1" topLeftCell="A764" workbookViewId="0">
      <selection activeCell="E5" sqref="E5"/>
    </sheetView>
  </sheetViews>
  <sheetFormatPr defaultColWidth="8.875" defaultRowHeight="14.25"/>
  <cols>
    <col min="1" max="1" width="9.125" bestFit="1" customWidth="1"/>
    <col min="2" max="2" width="18" bestFit="1" customWidth="1"/>
  </cols>
  <sheetData>
    <row r="1" spans="1:3" ht="15">
      <c r="A1" s="74" t="s">
        <v>36</v>
      </c>
      <c r="B1" s="74" t="s">
        <v>70</v>
      </c>
      <c r="C1" s="74" t="s">
        <v>71</v>
      </c>
    </row>
    <row r="2" spans="1:3" ht="15">
      <c r="A2" s="75">
        <v>39721</v>
      </c>
      <c r="B2" s="76" t="s">
        <v>72</v>
      </c>
      <c r="C2" s="77" t="s">
        <v>73</v>
      </c>
    </row>
    <row r="3" spans="1:3" ht="15">
      <c r="A3" s="75">
        <v>39722</v>
      </c>
      <c r="B3" s="76" t="s">
        <v>74</v>
      </c>
      <c r="C3" s="77" t="s">
        <v>73</v>
      </c>
    </row>
    <row r="4" spans="1:3" ht="15">
      <c r="A4" s="75">
        <v>39723</v>
      </c>
      <c r="B4" s="76" t="s">
        <v>75</v>
      </c>
      <c r="C4" s="77" t="s">
        <v>73</v>
      </c>
    </row>
    <row r="5" spans="1:3" ht="15">
      <c r="A5" s="75">
        <v>39729</v>
      </c>
      <c r="B5" s="76" t="s">
        <v>76</v>
      </c>
      <c r="C5" s="77" t="s">
        <v>73</v>
      </c>
    </row>
    <row r="6" spans="1:3" ht="15">
      <c r="A6" s="75">
        <v>39730</v>
      </c>
      <c r="B6" s="76" t="s">
        <v>77</v>
      </c>
      <c r="C6" s="77" t="s">
        <v>73</v>
      </c>
    </row>
    <row r="7" spans="1:3" ht="15">
      <c r="A7" s="75">
        <v>39734</v>
      </c>
      <c r="B7" s="76" t="s">
        <v>78</v>
      </c>
      <c r="C7" s="77" t="s">
        <v>73</v>
      </c>
    </row>
    <row r="8" spans="1:3" ht="15">
      <c r="A8" s="75">
        <v>39735</v>
      </c>
      <c r="B8" s="76" t="s">
        <v>79</v>
      </c>
      <c r="C8" s="77" t="s">
        <v>73</v>
      </c>
    </row>
    <row r="9" spans="1:3" ht="15">
      <c r="A9" s="75">
        <v>39736</v>
      </c>
      <c r="B9" s="76" t="s">
        <v>80</v>
      </c>
      <c r="C9" s="77" t="s">
        <v>73</v>
      </c>
    </row>
    <row r="10" spans="1:3" ht="15">
      <c r="A10" s="75">
        <v>39737</v>
      </c>
      <c r="B10" s="76" t="s">
        <v>81</v>
      </c>
      <c r="C10" s="77" t="s">
        <v>73</v>
      </c>
    </row>
    <row r="11" spans="1:3" ht="15">
      <c r="A11" s="75">
        <v>39738</v>
      </c>
      <c r="B11" s="76" t="s">
        <v>82</v>
      </c>
      <c r="C11" s="77" t="s">
        <v>73</v>
      </c>
    </row>
    <row r="12" spans="1:3" ht="15">
      <c r="A12" s="75">
        <v>39739</v>
      </c>
      <c r="B12" s="76" t="s">
        <v>83</v>
      </c>
      <c r="C12" s="77" t="s">
        <v>73</v>
      </c>
    </row>
    <row r="13" spans="1:3" ht="15">
      <c r="A13" s="75">
        <v>39740</v>
      </c>
      <c r="B13" s="76" t="s">
        <v>84</v>
      </c>
      <c r="C13" s="77" t="s">
        <v>73</v>
      </c>
    </row>
    <row r="14" spans="1:3" ht="15">
      <c r="A14" s="75">
        <v>39741</v>
      </c>
      <c r="B14" s="76" t="s">
        <v>85</v>
      </c>
      <c r="C14" s="77" t="s">
        <v>73</v>
      </c>
    </row>
    <row r="15" spans="1:3" ht="15">
      <c r="A15" s="75">
        <v>39742</v>
      </c>
      <c r="B15" s="76" t="s">
        <v>86</v>
      </c>
      <c r="C15" s="77" t="s">
        <v>73</v>
      </c>
    </row>
    <row r="16" spans="1:3" ht="15">
      <c r="A16" s="75">
        <v>39743</v>
      </c>
      <c r="B16" s="76" t="s">
        <v>87</v>
      </c>
      <c r="C16" s="77" t="s">
        <v>73</v>
      </c>
    </row>
    <row r="17" spans="1:3" ht="15">
      <c r="A17" s="75">
        <v>39762</v>
      </c>
      <c r="B17" s="76" t="s">
        <v>88</v>
      </c>
      <c r="C17" s="77" t="s">
        <v>89</v>
      </c>
    </row>
    <row r="18" spans="1:3" ht="15">
      <c r="A18" s="75">
        <v>39804</v>
      </c>
      <c r="B18" s="76" t="s">
        <v>90</v>
      </c>
      <c r="C18" s="77" t="s">
        <v>73</v>
      </c>
    </row>
    <row r="19" spans="1:3" ht="15">
      <c r="A19" s="75">
        <v>39805</v>
      </c>
      <c r="B19" s="76" t="s">
        <v>91</v>
      </c>
      <c r="C19" s="77" t="s">
        <v>73</v>
      </c>
    </row>
    <row r="20" spans="1:3" ht="15">
      <c r="A20" s="75">
        <v>39806</v>
      </c>
      <c r="B20" s="76" t="s">
        <v>92</v>
      </c>
      <c r="C20" s="77" t="s">
        <v>73</v>
      </c>
    </row>
    <row r="21" spans="1:3" ht="15">
      <c r="A21" s="75">
        <v>39807</v>
      </c>
      <c r="B21" s="76" t="s">
        <v>93</v>
      </c>
      <c r="C21" s="77" t="s">
        <v>73</v>
      </c>
    </row>
    <row r="22" spans="1:3" ht="15">
      <c r="A22" s="75">
        <v>39808</v>
      </c>
      <c r="B22" s="76" t="s">
        <v>94</v>
      </c>
      <c r="C22" s="77" t="s">
        <v>73</v>
      </c>
    </row>
    <row r="23" spans="1:3" ht="15">
      <c r="A23" s="75">
        <v>39809</v>
      </c>
      <c r="B23" s="76" t="s">
        <v>95</v>
      </c>
      <c r="C23" s="77" t="s">
        <v>73</v>
      </c>
    </row>
    <row r="24" spans="1:3" ht="15">
      <c r="A24" s="75">
        <v>39810</v>
      </c>
      <c r="B24" s="76" t="s">
        <v>96</v>
      </c>
      <c r="C24" s="77" t="s">
        <v>73</v>
      </c>
    </row>
    <row r="25" spans="1:3" ht="15">
      <c r="A25" s="75">
        <v>39811</v>
      </c>
      <c r="B25" s="76" t="s">
        <v>97</v>
      </c>
      <c r="C25" s="77" t="s">
        <v>73</v>
      </c>
    </row>
    <row r="26" spans="1:3" ht="15">
      <c r="A26" s="75">
        <v>39819</v>
      </c>
      <c r="B26" s="76" t="s">
        <v>98</v>
      </c>
      <c r="C26" s="77" t="s">
        <v>73</v>
      </c>
    </row>
    <row r="27" spans="1:3" ht="15">
      <c r="A27" s="75">
        <v>39840</v>
      </c>
      <c r="B27" s="76" t="s">
        <v>99</v>
      </c>
      <c r="C27" s="77" t="s">
        <v>100</v>
      </c>
    </row>
    <row r="28" spans="1:3" ht="15">
      <c r="A28" s="75">
        <v>39853</v>
      </c>
      <c r="B28" s="76" t="s">
        <v>101</v>
      </c>
      <c r="C28" s="77" t="s">
        <v>73</v>
      </c>
    </row>
    <row r="29" spans="1:3" ht="15">
      <c r="A29" s="75">
        <v>39881</v>
      </c>
      <c r="B29" s="76" t="s">
        <v>102</v>
      </c>
      <c r="C29" s="77" t="s">
        <v>73</v>
      </c>
    </row>
    <row r="30" spans="1:3" ht="15">
      <c r="A30" s="75">
        <v>39882</v>
      </c>
      <c r="B30" s="76" t="s">
        <v>103</v>
      </c>
      <c r="C30" s="77" t="s">
        <v>73</v>
      </c>
    </row>
    <row r="31" spans="1:3" ht="15">
      <c r="A31" s="75">
        <v>39883</v>
      </c>
      <c r="B31" s="76" t="s">
        <v>104</v>
      </c>
      <c r="C31" s="77" t="s">
        <v>73</v>
      </c>
    </row>
    <row r="32" spans="1:3" ht="15">
      <c r="A32" s="75">
        <v>39911</v>
      </c>
      <c r="B32" s="76" t="s">
        <v>105</v>
      </c>
      <c r="C32" s="77" t="s">
        <v>73</v>
      </c>
    </row>
    <row r="33" spans="1:3" ht="15">
      <c r="A33" s="75">
        <v>39912</v>
      </c>
      <c r="B33" s="76" t="s">
        <v>106</v>
      </c>
      <c r="C33" s="77" t="s">
        <v>73</v>
      </c>
    </row>
    <row r="34" spans="1:3" ht="15">
      <c r="A34" s="75">
        <v>39913</v>
      </c>
      <c r="B34" s="76" t="s">
        <v>107</v>
      </c>
      <c r="C34" s="77" t="s">
        <v>73</v>
      </c>
    </row>
    <row r="35" spans="1:3" ht="15">
      <c r="A35" s="75">
        <v>39914</v>
      </c>
      <c r="B35" s="76" t="s">
        <v>108</v>
      </c>
      <c r="C35" s="77" t="s">
        <v>73</v>
      </c>
    </row>
    <row r="36" spans="1:3" ht="15">
      <c r="A36" s="75">
        <v>39915</v>
      </c>
      <c r="B36" s="76" t="s">
        <v>109</v>
      </c>
      <c r="C36" s="77" t="s">
        <v>73</v>
      </c>
    </row>
    <row r="37" spans="1:3" ht="15">
      <c r="A37" s="75">
        <v>39916</v>
      </c>
      <c r="B37" s="76" t="s">
        <v>110</v>
      </c>
      <c r="C37" s="77" t="s">
        <v>73</v>
      </c>
    </row>
    <row r="38" spans="1:3" ht="15">
      <c r="A38" s="75">
        <v>39917</v>
      </c>
      <c r="B38" s="76" t="s">
        <v>111</v>
      </c>
      <c r="C38" s="77" t="s">
        <v>73</v>
      </c>
    </row>
    <row r="39" spans="1:3" ht="15">
      <c r="A39" s="75">
        <v>39918</v>
      </c>
      <c r="B39" s="76" t="s">
        <v>112</v>
      </c>
      <c r="C39" s="77" t="s">
        <v>73</v>
      </c>
    </row>
    <row r="40" spans="1:3" ht="15">
      <c r="A40" s="75">
        <v>39919</v>
      </c>
      <c r="B40" s="76" t="s">
        <v>113</v>
      </c>
      <c r="C40" s="77" t="s">
        <v>73</v>
      </c>
    </row>
    <row r="41" spans="1:3" ht="15">
      <c r="A41" s="75">
        <v>39924</v>
      </c>
      <c r="B41" s="76" t="s">
        <v>114</v>
      </c>
      <c r="C41" s="77" t="s">
        <v>89</v>
      </c>
    </row>
    <row r="42" spans="1:3" ht="15">
      <c r="A42" s="75">
        <v>39931</v>
      </c>
      <c r="B42" s="76" t="s">
        <v>115</v>
      </c>
      <c r="C42" s="77" t="s">
        <v>89</v>
      </c>
    </row>
    <row r="43" spans="1:3" ht="15">
      <c r="A43" s="75">
        <v>39932</v>
      </c>
      <c r="B43" s="76" t="s">
        <v>116</v>
      </c>
      <c r="C43" s="77" t="s">
        <v>89</v>
      </c>
    </row>
    <row r="44" spans="1:3" ht="15">
      <c r="A44" s="75">
        <v>39945</v>
      </c>
      <c r="B44" s="76" t="s">
        <v>117</v>
      </c>
      <c r="C44" s="77" t="s">
        <v>73</v>
      </c>
    </row>
    <row r="45" spans="1:3" ht="15">
      <c r="A45" s="75">
        <v>39954</v>
      </c>
      <c r="B45" s="76" t="s">
        <v>118</v>
      </c>
      <c r="C45" s="77" t="s">
        <v>89</v>
      </c>
    </row>
    <row r="46" spans="1:3" ht="15">
      <c r="A46" s="75">
        <v>39961</v>
      </c>
      <c r="B46" s="76" t="s">
        <v>119</v>
      </c>
      <c r="C46" s="77" t="s">
        <v>73</v>
      </c>
    </row>
    <row r="47" spans="1:3" ht="15">
      <c r="A47" s="75">
        <v>39962</v>
      </c>
      <c r="B47" s="76" t="s">
        <v>120</v>
      </c>
      <c r="C47" s="77" t="s">
        <v>73</v>
      </c>
    </row>
    <row r="48" spans="1:3" ht="15">
      <c r="A48" s="75">
        <v>39963</v>
      </c>
      <c r="B48" s="76" t="s">
        <v>121</v>
      </c>
      <c r="C48" s="77" t="s">
        <v>73</v>
      </c>
    </row>
    <row r="49" spans="1:3" ht="15">
      <c r="A49" s="75">
        <v>40003</v>
      </c>
      <c r="B49" s="76" t="s">
        <v>122</v>
      </c>
      <c r="C49" s="77" t="s">
        <v>73</v>
      </c>
    </row>
    <row r="50" spans="1:3" ht="15">
      <c r="A50" s="75">
        <v>40024</v>
      </c>
      <c r="B50" s="76" t="s">
        <v>123</v>
      </c>
      <c r="C50" s="77" t="s">
        <v>73</v>
      </c>
    </row>
    <row r="51" spans="1:3" ht="15">
      <c r="A51" s="75">
        <v>40074</v>
      </c>
      <c r="B51" s="76" t="s">
        <v>124</v>
      </c>
      <c r="C51" s="77" t="s">
        <v>73</v>
      </c>
    </row>
    <row r="52" spans="1:3" ht="15">
      <c r="A52" s="75">
        <v>40075</v>
      </c>
      <c r="B52" s="76" t="s">
        <v>72</v>
      </c>
      <c r="C52" s="77" t="s">
        <v>73</v>
      </c>
    </row>
    <row r="53" spans="1:3" ht="15">
      <c r="A53" s="75">
        <v>40076</v>
      </c>
      <c r="B53" s="76" t="s">
        <v>74</v>
      </c>
      <c r="C53" s="77" t="s">
        <v>73</v>
      </c>
    </row>
    <row r="54" spans="1:3" ht="15">
      <c r="A54" s="75">
        <v>40077</v>
      </c>
      <c r="B54" s="76" t="s">
        <v>75</v>
      </c>
      <c r="C54" s="77" t="s">
        <v>73</v>
      </c>
    </row>
    <row r="55" spans="1:3" ht="15">
      <c r="A55" s="75">
        <v>40083</v>
      </c>
      <c r="B55" s="76" t="s">
        <v>76</v>
      </c>
      <c r="C55" s="77" t="s">
        <v>73</v>
      </c>
    </row>
    <row r="56" spans="1:3" ht="15">
      <c r="A56" s="75">
        <v>40084</v>
      </c>
      <c r="B56" s="76" t="s">
        <v>77</v>
      </c>
      <c r="C56" s="77" t="s">
        <v>73</v>
      </c>
    </row>
    <row r="57" spans="1:3" ht="15">
      <c r="A57" s="75">
        <v>40088</v>
      </c>
      <c r="B57" s="76" t="s">
        <v>78</v>
      </c>
      <c r="C57" s="77" t="s">
        <v>73</v>
      </c>
    </row>
    <row r="58" spans="1:3" ht="15">
      <c r="A58" s="75">
        <v>40089</v>
      </c>
      <c r="B58" s="76" t="s">
        <v>79</v>
      </c>
      <c r="C58" s="77" t="s">
        <v>73</v>
      </c>
    </row>
    <row r="59" spans="1:3" ht="15">
      <c r="A59" s="75">
        <v>40090</v>
      </c>
      <c r="B59" s="76" t="s">
        <v>80</v>
      </c>
      <c r="C59" s="77" t="s">
        <v>73</v>
      </c>
    </row>
    <row r="60" spans="1:3" ht="15">
      <c r="A60" s="75">
        <v>40091</v>
      </c>
      <c r="B60" s="76" t="s">
        <v>81</v>
      </c>
      <c r="C60" s="77" t="s">
        <v>73</v>
      </c>
    </row>
    <row r="61" spans="1:3" ht="15">
      <c r="A61" s="75">
        <v>40092</v>
      </c>
      <c r="B61" s="76" t="s">
        <v>82</v>
      </c>
      <c r="C61" s="77" t="s">
        <v>73</v>
      </c>
    </row>
    <row r="62" spans="1:3" ht="15">
      <c r="A62" s="75">
        <v>40093</v>
      </c>
      <c r="B62" s="76" t="s">
        <v>83</v>
      </c>
      <c r="C62" s="77" t="s">
        <v>73</v>
      </c>
    </row>
    <row r="63" spans="1:3" ht="15">
      <c r="A63" s="75">
        <v>40094</v>
      </c>
      <c r="B63" s="76" t="s">
        <v>84</v>
      </c>
      <c r="C63" s="77" t="s">
        <v>73</v>
      </c>
    </row>
    <row r="64" spans="1:3" ht="15">
      <c r="A64" s="75">
        <v>40095</v>
      </c>
      <c r="B64" s="76" t="s">
        <v>85</v>
      </c>
      <c r="C64" s="77" t="s">
        <v>73</v>
      </c>
    </row>
    <row r="65" spans="1:3" ht="15">
      <c r="A65" s="75">
        <v>40096</v>
      </c>
      <c r="B65" s="76" t="s">
        <v>86</v>
      </c>
      <c r="C65" s="77" t="s">
        <v>73</v>
      </c>
    </row>
    <row r="66" spans="1:3" ht="15">
      <c r="A66" s="75">
        <v>40097</v>
      </c>
      <c r="B66" s="76" t="s">
        <v>87</v>
      </c>
      <c r="C66" s="77" t="s">
        <v>73</v>
      </c>
    </row>
    <row r="67" spans="1:3" ht="15">
      <c r="A67" s="75">
        <v>40115</v>
      </c>
      <c r="B67" s="76" t="s">
        <v>88</v>
      </c>
      <c r="C67" s="77" t="s">
        <v>89</v>
      </c>
    </row>
    <row r="68" spans="1:3" ht="15">
      <c r="A68" s="75">
        <v>40159</v>
      </c>
      <c r="B68" s="76" t="s">
        <v>90</v>
      </c>
      <c r="C68" s="77" t="s">
        <v>73</v>
      </c>
    </row>
    <row r="69" spans="1:3" ht="15">
      <c r="A69" s="75">
        <v>40160</v>
      </c>
      <c r="B69" s="76" t="s">
        <v>91</v>
      </c>
      <c r="C69" s="77" t="s">
        <v>73</v>
      </c>
    </row>
    <row r="70" spans="1:3" ht="15">
      <c r="A70" s="75">
        <v>40161</v>
      </c>
      <c r="B70" s="76" t="s">
        <v>92</v>
      </c>
      <c r="C70" s="77" t="s">
        <v>73</v>
      </c>
    </row>
    <row r="71" spans="1:3" ht="15">
      <c r="A71" s="75">
        <v>40162</v>
      </c>
      <c r="B71" s="76" t="s">
        <v>93</v>
      </c>
      <c r="C71" s="77" t="s">
        <v>73</v>
      </c>
    </row>
    <row r="72" spans="1:3" ht="15">
      <c r="A72" s="75">
        <v>40163</v>
      </c>
      <c r="B72" s="76" t="s">
        <v>94</v>
      </c>
      <c r="C72" s="77" t="s">
        <v>73</v>
      </c>
    </row>
    <row r="73" spans="1:3" ht="15">
      <c r="A73" s="75">
        <v>40164</v>
      </c>
      <c r="B73" s="76" t="s">
        <v>95</v>
      </c>
      <c r="C73" s="77" t="s">
        <v>73</v>
      </c>
    </row>
    <row r="74" spans="1:3" ht="15">
      <c r="A74" s="75">
        <v>40165</v>
      </c>
      <c r="B74" s="76" t="s">
        <v>96</v>
      </c>
      <c r="C74" s="77" t="s">
        <v>73</v>
      </c>
    </row>
    <row r="75" spans="1:3" ht="15">
      <c r="A75" s="75">
        <v>40166</v>
      </c>
      <c r="B75" s="76" t="s">
        <v>97</v>
      </c>
      <c r="C75" s="77" t="s">
        <v>73</v>
      </c>
    </row>
    <row r="76" spans="1:3" ht="15">
      <c r="A76" s="75">
        <v>40174</v>
      </c>
      <c r="B76" s="76" t="s">
        <v>98</v>
      </c>
      <c r="C76" s="77" t="s">
        <v>73</v>
      </c>
    </row>
    <row r="77" spans="1:3" ht="15">
      <c r="A77" s="75">
        <v>40205</v>
      </c>
      <c r="B77" s="76" t="s">
        <v>99</v>
      </c>
      <c r="C77" s="77" t="s">
        <v>100</v>
      </c>
    </row>
    <row r="78" spans="1:3" ht="15">
      <c r="A78" s="75">
        <v>40208</v>
      </c>
      <c r="B78" s="76" t="s">
        <v>101</v>
      </c>
      <c r="C78" s="77" t="s">
        <v>73</v>
      </c>
    </row>
    <row r="79" spans="1:3" ht="15">
      <c r="A79" s="75">
        <v>40234</v>
      </c>
      <c r="B79" s="76" t="s">
        <v>102</v>
      </c>
      <c r="C79" s="77" t="s">
        <v>73</v>
      </c>
    </row>
    <row r="80" spans="1:3" ht="15">
      <c r="A80" s="75">
        <v>40237</v>
      </c>
      <c r="B80" s="76" t="s">
        <v>103</v>
      </c>
      <c r="C80" s="77" t="s">
        <v>73</v>
      </c>
    </row>
    <row r="81" spans="1:3" ht="15">
      <c r="A81" s="75">
        <v>40238</v>
      </c>
      <c r="B81" s="76" t="s">
        <v>104</v>
      </c>
      <c r="C81" s="77" t="s">
        <v>73</v>
      </c>
    </row>
    <row r="82" spans="1:3" ht="15">
      <c r="A82" s="75">
        <v>40266</v>
      </c>
      <c r="B82" s="76" t="s">
        <v>105</v>
      </c>
      <c r="C82" s="77" t="s">
        <v>73</v>
      </c>
    </row>
    <row r="83" spans="1:3" ht="15">
      <c r="A83" s="75">
        <v>40267</v>
      </c>
      <c r="B83" s="76" t="s">
        <v>106</v>
      </c>
      <c r="C83" s="77" t="s">
        <v>73</v>
      </c>
    </row>
    <row r="84" spans="1:3" ht="15">
      <c r="A84" s="75">
        <v>40268</v>
      </c>
      <c r="B84" s="76" t="s">
        <v>107</v>
      </c>
      <c r="C84" s="77" t="s">
        <v>73</v>
      </c>
    </row>
    <row r="85" spans="1:3" ht="15">
      <c r="A85" s="75">
        <v>40269</v>
      </c>
      <c r="B85" s="76" t="s">
        <v>108</v>
      </c>
      <c r="C85" s="77" t="s">
        <v>73</v>
      </c>
    </row>
    <row r="86" spans="1:3" ht="15">
      <c r="A86" s="75">
        <v>40270</v>
      </c>
      <c r="B86" s="76" t="s">
        <v>109</v>
      </c>
      <c r="C86" s="77" t="s">
        <v>73</v>
      </c>
    </row>
    <row r="87" spans="1:3" ht="15">
      <c r="A87" s="75">
        <v>40271</v>
      </c>
      <c r="B87" s="76" t="s">
        <v>110</v>
      </c>
      <c r="C87" s="77" t="s">
        <v>73</v>
      </c>
    </row>
    <row r="88" spans="1:3" ht="15">
      <c r="A88" s="75">
        <v>40272</v>
      </c>
      <c r="B88" s="76" t="s">
        <v>111</v>
      </c>
      <c r="C88" s="77" t="s">
        <v>73</v>
      </c>
    </row>
    <row r="89" spans="1:3" ht="15">
      <c r="A89" s="75">
        <v>40273</v>
      </c>
      <c r="B89" s="76" t="s">
        <v>112</v>
      </c>
      <c r="C89" s="77" t="s">
        <v>73</v>
      </c>
    </row>
    <row r="90" spans="1:3" ht="15">
      <c r="A90" s="75">
        <v>40274</v>
      </c>
      <c r="B90" s="76" t="s">
        <v>113</v>
      </c>
      <c r="C90" s="77" t="s">
        <v>73</v>
      </c>
    </row>
    <row r="91" spans="1:3" ht="15">
      <c r="A91" s="75">
        <v>40280</v>
      </c>
      <c r="B91" s="76" t="s">
        <v>114</v>
      </c>
      <c r="C91" s="77" t="s">
        <v>89</v>
      </c>
    </row>
    <row r="92" spans="1:3" ht="15">
      <c r="A92" s="75">
        <v>40287</v>
      </c>
      <c r="B92" s="76" t="s">
        <v>115</v>
      </c>
      <c r="C92" s="77" t="s">
        <v>89</v>
      </c>
    </row>
    <row r="93" spans="1:3" ht="15">
      <c r="A93" s="75">
        <v>40288</v>
      </c>
      <c r="B93" s="76" t="s">
        <v>116</v>
      </c>
      <c r="C93" s="77" t="s">
        <v>89</v>
      </c>
    </row>
    <row r="94" spans="1:3" ht="15">
      <c r="A94" s="75">
        <v>40300</v>
      </c>
      <c r="B94" s="76" t="s">
        <v>117</v>
      </c>
      <c r="C94" s="77" t="s">
        <v>73</v>
      </c>
    </row>
    <row r="95" spans="1:3" ht="15">
      <c r="A95" s="75">
        <v>40310</v>
      </c>
      <c r="B95" s="76" t="s">
        <v>118</v>
      </c>
      <c r="C95" s="77" t="s">
        <v>89</v>
      </c>
    </row>
    <row r="96" spans="1:3" ht="15">
      <c r="A96" s="75">
        <v>40316</v>
      </c>
      <c r="B96" s="76" t="s">
        <v>119</v>
      </c>
      <c r="C96" s="77" t="s">
        <v>73</v>
      </c>
    </row>
    <row r="97" spans="1:3" ht="15">
      <c r="A97" s="75">
        <v>40317</v>
      </c>
      <c r="B97" s="76" t="s">
        <v>120</v>
      </c>
      <c r="C97" s="77" t="s">
        <v>73</v>
      </c>
    </row>
    <row r="98" spans="1:3" ht="15">
      <c r="A98" s="75">
        <v>40318</v>
      </c>
      <c r="B98" s="76" t="s">
        <v>121</v>
      </c>
      <c r="C98" s="77" t="s">
        <v>73</v>
      </c>
    </row>
    <row r="99" spans="1:3" ht="15">
      <c r="A99" s="75">
        <v>40358</v>
      </c>
      <c r="B99" s="76" t="s">
        <v>122</v>
      </c>
      <c r="C99" s="77" t="s">
        <v>73</v>
      </c>
    </row>
    <row r="100" spans="1:3" ht="15">
      <c r="A100" s="75">
        <v>40379</v>
      </c>
      <c r="B100" s="76" t="s">
        <v>123</v>
      </c>
      <c r="C100" s="77" t="s">
        <v>73</v>
      </c>
    </row>
    <row r="101" spans="1:3" ht="15">
      <c r="A101" s="75">
        <v>40429</v>
      </c>
      <c r="B101" s="76" t="s">
        <v>124</v>
      </c>
      <c r="C101" s="77" t="s">
        <v>73</v>
      </c>
    </row>
    <row r="102" spans="1:3" ht="15">
      <c r="A102" s="75">
        <v>40430</v>
      </c>
      <c r="B102" s="76" t="s">
        <v>72</v>
      </c>
      <c r="C102" s="77" t="s">
        <v>73</v>
      </c>
    </row>
    <row r="103" spans="1:3" ht="15">
      <c r="A103" s="75">
        <v>40431</v>
      </c>
      <c r="B103" s="76" t="s">
        <v>74</v>
      </c>
      <c r="C103" s="77" t="s">
        <v>73</v>
      </c>
    </row>
    <row r="104" spans="1:3" ht="15">
      <c r="A104" s="75">
        <v>40433</v>
      </c>
      <c r="B104" s="76" t="s">
        <v>75</v>
      </c>
      <c r="C104" s="77" t="s">
        <v>73</v>
      </c>
    </row>
    <row r="105" spans="1:3" ht="15">
      <c r="A105" s="75">
        <v>40438</v>
      </c>
      <c r="B105" s="76" t="s">
        <v>76</v>
      </c>
      <c r="C105" s="77" t="s">
        <v>73</v>
      </c>
    </row>
    <row r="106" spans="1:3" ht="15">
      <c r="A106" s="75">
        <v>40439</v>
      </c>
      <c r="B106" s="76" t="s">
        <v>77</v>
      </c>
      <c r="C106" s="77" t="s">
        <v>73</v>
      </c>
    </row>
    <row r="107" spans="1:3" ht="15">
      <c r="A107" s="75">
        <v>40443</v>
      </c>
      <c r="B107" s="76" t="s">
        <v>78</v>
      </c>
      <c r="C107" s="77" t="s">
        <v>73</v>
      </c>
    </row>
    <row r="108" spans="1:3" ht="15">
      <c r="A108" s="75">
        <v>40444</v>
      </c>
      <c r="B108" s="76" t="s">
        <v>79</v>
      </c>
      <c r="C108" s="77" t="s">
        <v>73</v>
      </c>
    </row>
    <row r="109" spans="1:3" ht="15">
      <c r="A109" s="75">
        <v>40445</v>
      </c>
      <c r="B109" s="76" t="s">
        <v>80</v>
      </c>
      <c r="C109" s="77" t="s">
        <v>73</v>
      </c>
    </row>
    <row r="110" spans="1:3" ht="15">
      <c r="A110" s="75">
        <v>40446</v>
      </c>
      <c r="B110" s="76" t="s">
        <v>81</v>
      </c>
      <c r="C110" s="77" t="s">
        <v>73</v>
      </c>
    </row>
    <row r="111" spans="1:3" ht="15">
      <c r="A111" s="75">
        <v>40447</v>
      </c>
      <c r="B111" s="76" t="s">
        <v>82</v>
      </c>
      <c r="C111" s="77" t="s">
        <v>73</v>
      </c>
    </row>
    <row r="112" spans="1:3" ht="15">
      <c r="A112" s="75">
        <v>40448</v>
      </c>
      <c r="B112" s="76" t="s">
        <v>83</v>
      </c>
      <c r="C112" s="77" t="s">
        <v>73</v>
      </c>
    </row>
    <row r="113" spans="1:3" ht="15">
      <c r="A113" s="75">
        <v>40449</v>
      </c>
      <c r="B113" s="76" t="s">
        <v>84</v>
      </c>
      <c r="C113" s="77" t="s">
        <v>73</v>
      </c>
    </row>
    <row r="114" spans="1:3" ht="15">
      <c r="A114" s="75">
        <v>40450</v>
      </c>
      <c r="B114" s="76" t="s">
        <v>85</v>
      </c>
      <c r="C114" s="77" t="s">
        <v>73</v>
      </c>
    </row>
    <row r="115" spans="1:3" ht="15">
      <c r="A115" s="75">
        <v>40451</v>
      </c>
      <c r="B115" s="76" t="s">
        <v>86</v>
      </c>
      <c r="C115" s="77" t="s">
        <v>73</v>
      </c>
    </row>
    <row r="116" spans="1:3" ht="15">
      <c r="A116" s="75">
        <v>40452</v>
      </c>
      <c r="B116" s="76" t="s">
        <v>87</v>
      </c>
      <c r="C116" s="77" t="s">
        <v>73</v>
      </c>
    </row>
    <row r="117" spans="1:3" ht="15">
      <c r="A117" s="75">
        <v>40471</v>
      </c>
      <c r="B117" s="76" t="s">
        <v>88</v>
      </c>
      <c r="C117" s="77" t="s">
        <v>89</v>
      </c>
    </row>
    <row r="118" spans="1:3" ht="15">
      <c r="A118" s="75">
        <v>40514</v>
      </c>
      <c r="B118" s="76" t="s">
        <v>90</v>
      </c>
      <c r="C118" s="77" t="s">
        <v>73</v>
      </c>
    </row>
    <row r="119" spans="1:3" ht="15">
      <c r="A119" s="75">
        <v>40515</v>
      </c>
      <c r="B119" s="76" t="s">
        <v>91</v>
      </c>
      <c r="C119" s="77" t="s">
        <v>73</v>
      </c>
    </row>
    <row r="120" spans="1:3" ht="15">
      <c r="A120" s="75">
        <v>40516</v>
      </c>
      <c r="B120" s="76" t="s">
        <v>92</v>
      </c>
      <c r="C120" s="77" t="s">
        <v>73</v>
      </c>
    </row>
    <row r="121" spans="1:3" ht="15">
      <c r="A121" s="75">
        <v>40517</v>
      </c>
      <c r="B121" s="76" t="s">
        <v>93</v>
      </c>
      <c r="C121" s="77" t="s">
        <v>73</v>
      </c>
    </row>
    <row r="122" spans="1:3" ht="15">
      <c r="A122" s="75">
        <v>40518</v>
      </c>
      <c r="B122" s="76" t="s">
        <v>94</v>
      </c>
      <c r="C122" s="77" t="s">
        <v>73</v>
      </c>
    </row>
    <row r="123" spans="1:3" ht="15">
      <c r="A123" s="75">
        <v>40519</v>
      </c>
      <c r="B123" s="76" t="s">
        <v>95</v>
      </c>
      <c r="C123" s="77" t="s">
        <v>73</v>
      </c>
    </row>
    <row r="124" spans="1:3" ht="15">
      <c r="A124" s="75">
        <v>40520</v>
      </c>
      <c r="B124" s="76" t="s">
        <v>96</v>
      </c>
      <c r="C124" s="77" t="s">
        <v>73</v>
      </c>
    </row>
    <row r="125" spans="1:3" ht="15">
      <c r="A125" s="75">
        <v>40521</v>
      </c>
      <c r="B125" s="76" t="s">
        <v>97</v>
      </c>
      <c r="C125" s="77" t="s">
        <v>73</v>
      </c>
    </row>
    <row r="126" spans="1:3" ht="15">
      <c r="A126" s="75">
        <v>40528</v>
      </c>
      <c r="B126" s="76" t="s">
        <v>98</v>
      </c>
      <c r="C126" s="77" t="s">
        <v>73</v>
      </c>
    </row>
    <row r="127" spans="1:3" ht="15">
      <c r="A127" s="75">
        <v>40563</v>
      </c>
      <c r="B127" s="76" t="s">
        <v>101</v>
      </c>
      <c r="C127" s="77" t="s">
        <v>73</v>
      </c>
    </row>
    <row r="128" spans="1:3" ht="15">
      <c r="A128" s="75">
        <v>40570</v>
      </c>
      <c r="B128" s="76" t="s">
        <v>99</v>
      </c>
      <c r="C128" s="77" t="s">
        <v>100</v>
      </c>
    </row>
    <row r="129" spans="1:3" ht="15">
      <c r="A129" s="75">
        <v>40619</v>
      </c>
      <c r="B129" s="76" t="s">
        <v>102</v>
      </c>
      <c r="C129" s="77" t="s">
        <v>73</v>
      </c>
    </row>
    <row r="130" spans="1:3" ht="15">
      <c r="A130" s="75">
        <v>40622</v>
      </c>
      <c r="B130" s="76" t="s">
        <v>125</v>
      </c>
      <c r="C130" s="77" t="s">
        <v>73</v>
      </c>
    </row>
    <row r="131" spans="1:3" ht="15">
      <c r="A131" s="75">
        <v>40623</v>
      </c>
      <c r="B131" s="76" t="s">
        <v>104</v>
      </c>
      <c r="C131" s="77" t="s">
        <v>73</v>
      </c>
    </row>
    <row r="132" spans="1:3" ht="15">
      <c r="A132" s="75">
        <v>40651</v>
      </c>
      <c r="B132" s="76" t="s">
        <v>105</v>
      </c>
      <c r="C132" s="77" t="s">
        <v>73</v>
      </c>
    </row>
    <row r="133" spans="1:3" ht="15">
      <c r="A133" s="75">
        <v>40652</v>
      </c>
      <c r="B133" s="76" t="s">
        <v>106</v>
      </c>
      <c r="C133" s="77" t="s">
        <v>73</v>
      </c>
    </row>
    <row r="134" spans="1:3" ht="15">
      <c r="A134" s="75">
        <v>40653</v>
      </c>
      <c r="B134" s="76" t="s">
        <v>107</v>
      </c>
      <c r="C134" s="77" t="s">
        <v>73</v>
      </c>
    </row>
    <row r="135" spans="1:3" ht="15">
      <c r="A135" s="75">
        <v>40654</v>
      </c>
      <c r="B135" s="76" t="s">
        <v>108</v>
      </c>
      <c r="C135" s="77" t="s">
        <v>73</v>
      </c>
    </row>
    <row r="136" spans="1:3" ht="15">
      <c r="A136" s="75">
        <v>40655</v>
      </c>
      <c r="B136" s="76" t="s">
        <v>109</v>
      </c>
      <c r="C136" s="77" t="s">
        <v>73</v>
      </c>
    </row>
    <row r="137" spans="1:3" ht="15">
      <c r="A137" s="75">
        <v>40656</v>
      </c>
      <c r="B137" s="76" t="s">
        <v>110</v>
      </c>
      <c r="C137" s="77" t="s">
        <v>73</v>
      </c>
    </row>
    <row r="138" spans="1:3" ht="15">
      <c r="A138" s="75">
        <v>40657</v>
      </c>
      <c r="B138" s="76" t="s">
        <v>111</v>
      </c>
      <c r="C138" s="77" t="s">
        <v>73</v>
      </c>
    </row>
    <row r="139" spans="1:3" ht="15">
      <c r="A139" s="75">
        <v>40658</v>
      </c>
      <c r="B139" s="76" t="s">
        <v>112</v>
      </c>
      <c r="C139" s="77" t="s">
        <v>73</v>
      </c>
    </row>
    <row r="140" spans="1:3" ht="15">
      <c r="A140" s="75">
        <v>40659</v>
      </c>
      <c r="B140" s="76" t="s">
        <v>113</v>
      </c>
      <c r="C140" s="77" t="s">
        <v>73</v>
      </c>
    </row>
    <row r="141" spans="1:3" ht="15">
      <c r="A141" s="75">
        <v>40665</v>
      </c>
      <c r="B141" s="76" t="s">
        <v>114</v>
      </c>
      <c r="C141" s="77" t="s">
        <v>89</v>
      </c>
    </row>
    <row r="142" spans="1:3" ht="15">
      <c r="A142" s="75">
        <v>40672</v>
      </c>
      <c r="B142" s="76" t="s">
        <v>115</v>
      </c>
      <c r="C142" s="77" t="s">
        <v>89</v>
      </c>
    </row>
    <row r="143" spans="1:3" ht="15">
      <c r="A143" s="75">
        <v>40673</v>
      </c>
      <c r="B143" s="76" t="s">
        <v>116</v>
      </c>
      <c r="C143" s="77" t="s">
        <v>89</v>
      </c>
    </row>
    <row r="144" spans="1:3" ht="15">
      <c r="A144" s="75">
        <v>40685</v>
      </c>
      <c r="B144" s="76" t="s">
        <v>117</v>
      </c>
      <c r="C144" s="77" t="s">
        <v>73</v>
      </c>
    </row>
    <row r="145" spans="1:3" ht="15">
      <c r="A145" s="75">
        <v>40695</v>
      </c>
      <c r="B145" s="76" t="s">
        <v>118</v>
      </c>
      <c r="C145" s="77" t="s">
        <v>89</v>
      </c>
    </row>
    <row r="146" spans="1:3" ht="15">
      <c r="A146" s="75">
        <v>40701</v>
      </c>
      <c r="B146" s="76" t="s">
        <v>119</v>
      </c>
      <c r="C146" s="77" t="s">
        <v>73</v>
      </c>
    </row>
    <row r="147" spans="1:3" ht="15">
      <c r="A147" s="75">
        <v>40702</v>
      </c>
      <c r="B147" s="76" t="s">
        <v>120</v>
      </c>
      <c r="C147" s="77" t="s">
        <v>73</v>
      </c>
    </row>
    <row r="148" spans="1:3" ht="15">
      <c r="A148" s="75">
        <v>40703</v>
      </c>
      <c r="B148" s="76" t="s">
        <v>121</v>
      </c>
      <c r="C148" s="77" t="s">
        <v>73</v>
      </c>
    </row>
    <row r="149" spans="1:3" ht="15">
      <c r="A149" s="75">
        <v>40743</v>
      </c>
      <c r="B149" s="76" t="s">
        <v>122</v>
      </c>
      <c r="C149" s="77" t="s">
        <v>73</v>
      </c>
    </row>
    <row r="150" spans="1:3" ht="15">
      <c r="A150" s="75">
        <v>40764</v>
      </c>
      <c r="B150" s="76" t="s">
        <v>123</v>
      </c>
      <c r="C150" s="77" t="s">
        <v>73</v>
      </c>
    </row>
    <row r="151" spans="1:3" ht="15">
      <c r="A151" s="75">
        <v>40814</v>
      </c>
      <c r="B151" s="76" t="s">
        <v>124</v>
      </c>
      <c r="C151" s="77" t="s">
        <v>73</v>
      </c>
    </row>
    <row r="152" spans="1:3" ht="15">
      <c r="A152" s="75">
        <v>40815</v>
      </c>
      <c r="B152" s="76" t="s">
        <v>72</v>
      </c>
      <c r="C152" s="77" t="s">
        <v>73</v>
      </c>
    </row>
    <row r="153" spans="1:3" ht="15">
      <c r="A153" s="75">
        <v>40816</v>
      </c>
      <c r="B153" s="76" t="s">
        <v>74</v>
      </c>
      <c r="C153" s="77" t="s">
        <v>73</v>
      </c>
    </row>
    <row r="154" spans="1:3" ht="15">
      <c r="A154" s="75">
        <v>40818</v>
      </c>
      <c r="B154" s="76" t="s">
        <v>75</v>
      </c>
      <c r="C154" s="77" t="s">
        <v>73</v>
      </c>
    </row>
    <row r="155" spans="1:3" ht="15">
      <c r="A155" s="75">
        <v>40823</v>
      </c>
      <c r="B155" s="76" t="s">
        <v>76</v>
      </c>
      <c r="C155" s="77" t="s">
        <v>73</v>
      </c>
    </row>
    <row r="156" spans="1:3" ht="15">
      <c r="A156" s="75">
        <v>40824</v>
      </c>
      <c r="B156" s="76" t="s">
        <v>77</v>
      </c>
      <c r="C156" s="77" t="s">
        <v>73</v>
      </c>
    </row>
    <row r="157" spans="1:3" ht="15">
      <c r="A157" s="75">
        <v>40828</v>
      </c>
      <c r="B157" s="76" t="s">
        <v>78</v>
      </c>
      <c r="C157" s="77" t="s">
        <v>73</v>
      </c>
    </row>
    <row r="158" spans="1:3" ht="15">
      <c r="A158" s="75">
        <v>40829</v>
      </c>
      <c r="B158" s="76" t="s">
        <v>79</v>
      </c>
      <c r="C158" s="77" t="s">
        <v>73</v>
      </c>
    </row>
    <row r="159" spans="1:3" ht="15">
      <c r="A159" s="75">
        <v>40830</v>
      </c>
      <c r="B159" s="76" t="s">
        <v>80</v>
      </c>
      <c r="C159" s="77" t="s">
        <v>73</v>
      </c>
    </row>
    <row r="160" spans="1:3" ht="15">
      <c r="A160" s="75">
        <v>40831</v>
      </c>
      <c r="B160" s="76" t="s">
        <v>81</v>
      </c>
      <c r="C160" s="77" t="s">
        <v>73</v>
      </c>
    </row>
    <row r="161" spans="1:3" ht="15">
      <c r="A161" s="75">
        <v>40832</v>
      </c>
      <c r="B161" s="76" t="s">
        <v>82</v>
      </c>
      <c r="C161" s="77" t="s">
        <v>73</v>
      </c>
    </row>
    <row r="162" spans="1:3" ht="15">
      <c r="A162" s="75">
        <v>40833</v>
      </c>
      <c r="B162" s="76" t="s">
        <v>83</v>
      </c>
      <c r="C162" s="77" t="s">
        <v>73</v>
      </c>
    </row>
    <row r="163" spans="1:3" ht="15">
      <c r="A163" s="75">
        <v>40834</v>
      </c>
      <c r="B163" s="76" t="s">
        <v>84</v>
      </c>
      <c r="C163" s="77" t="s">
        <v>73</v>
      </c>
    </row>
    <row r="164" spans="1:3" ht="15">
      <c r="A164" s="75">
        <v>40835</v>
      </c>
      <c r="B164" s="76" t="s">
        <v>85</v>
      </c>
      <c r="C164" s="77" t="s">
        <v>73</v>
      </c>
    </row>
    <row r="165" spans="1:3" ht="15">
      <c r="A165" s="75">
        <v>40836</v>
      </c>
      <c r="B165" s="76" t="s">
        <v>86</v>
      </c>
      <c r="C165" s="77" t="s">
        <v>73</v>
      </c>
    </row>
    <row r="166" spans="1:3" ht="15">
      <c r="A166" s="75">
        <v>40837</v>
      </c>
      <c r="B166" s="76" t="s">
        <v>87</v>
      </c>
      <c r="C166" s="77" t="s">
        <v>73</v>
      </c>
    </row>
    <row r="167" spans="1:3" ht="15">
      <c r="A167" s="75">
        <v>40856</v>
      </c>
      <c r="B167" s="76" t="s">
        <v>88</v>
      </c>
      <c r="C167" s="77" t="s">
        <v>89</v>
      </c>
    </row>
    <row r="168" spans="1:3" ht="15">
      <c r="A168" s="75">
        <v>40898</v>
      </c>
      <c r="B168" s="76" t="s">
        <v>90</v>
      </c>
      <c r="C168" s="77" t="s">
        <v>73</v>
      </c>
    </row>
    <row r="169" spans="1:3" ht="15">
      <c r="A169" s="75">
        <v>40899</v>
      </c>
      <c r="B169" s="76" t="s">
        <v>91</v>
      </c>
      <c r="C169" s="77" t="s">
        <v>73</v>
      </c>
    </row>
    <row r="170" spans="1:3" ht="15">
      <c r="A170" s="75">
        <v>40900</v>
      </c>
      <c r="B170" s="76" t="s">
        <v>92</v>
      </c>
      <c r="C170" s="77" t="s">
        <v>73</v>
      </c>
    </row>
    <row r="171" spans="1:3" ht="15">
      <c r="A171" s="75">
        <v>40901</v>
      </c>
      <c r="B171" s="76" t="s">
        <v>93</v>
      </c>
      <c r="C171" s="77" t="s">
        <v>73</v>
      </c>
    </row>
    <row r="172" spans="1:3" ht="15">
      <c r="A172" s="75">
        <v>40902</v>
      </c>
      <c r="B172" s="76" t="s">
        <v>94</v>
      </c>
      <c r="C172" s="77" t="s">
        <v>73</v>
      </c>
    </row>
    <row r="173" spans="1:3" ht="15">
      <c r="A173" s="75">
        <v>40903</v>
      </c>
      <c r="B173" s="76" t="s">
        <v>95</v>
      </c>
      <c r="C173" s="77" t="s">
        <v>73</v>
      </c>
    </row>
    <row r="174" spans="1:3" ht="15">
      <c r="A174" s="75">
        <v>40904</v>
      </c>
      <c r="B174" s="76" t="s">
        <v>96</v>
      </c>
      <c r="C174" s="77" t="s">
        <v>73</v>
      </c>
    </row>
    <row r="175" spans="1:3" ht="15">
      <c r="A175" s="75">
        <v>40905</v>
      </c>
      <c r="B175" s="76" t="s">
        <v>97</v>
      </c>
      <c r="C175" s="77" t="s">
        <v>73</v>
      </c>
    </row>
    <row r="176" spans="1:3" ht="15">
      <c r="A176" s="75">
        <v>40913</v>
      </c>
      <c r="B176" s="76" t="s">
        <v>98</v>
      </c>
      <c r="C176" s="77" t="s">
        <v>73</v>
      </c>
    </row>
    <row r="177" spans="1:3" ht="15">
      <c r="A177" s="75">
        <v>40935</v>
      </c>
      <c r="B177" s="76" t="s">
        <v>99</v>
      </c>
      <c r="C177" s="77" t="s">
        <v>100</v>
      </c>
    </row>
    <row r="178" spans="1:3" ht="15">
      <c r="A178" s="75">
        <v>40947</v>
      </c>
      <c r="B178" s="76" t="s">
        <v>101</v>
      </c>
      <c r="C178" s="77" t="s">
        <v>73</v>
      </c>
    </row>
    <row r="179" spans="1:3" ht="15">
      <c r="A179" s="75">
        <v>40975</v>
      </c>
      <c r="B179" s="76" t="s">
        <v>102</v>
      </c>
      <c r="C179" s="77" t="s">
        <v>73</v>
      </c>
    </row>
    <row r="180" spans="1:3" ht="15">
      <c r="A180" s="75">
        <v>40976</v>
      </c>
      <c r="B180" s="76" t="s">
        <v>103</v>
      </c>
      <c r="C180" s="77" t="s">
        <v>73</v>
      </c>
    </row>
    <row r="181" spans="1:3" ht="15">
      <c r="A181" s="75">
        <v>40977</v>
      </c>
      <c r="B181" s="76" t="s">
        <v>104</v>
      </c>
      <c r="C181" s="77" t="s">
        <v>73</v>
      </c>
    </row>
    <row r="182" spans="1:3" ht="15">
      <c r="A182" s="75">
        <v>41005</v>
      </c>
      <c r="B182" s="76" t="s">
        <v>105</v>
      </c>
      <c r="C182" s="77" t="s">
        <v>73</v>
      </c>
    </row>
    <row r="183" spans="1:3" ht="15">
      <c r="A183" s="75">
        <v>41006</v>
      </c>
      <c r="B183" s="76" t="s">
        <v>106</v>
      </c>
      <c r="C183" s="77" t="s">
        <v>73</v>
      </c>
    </row>
    <row r="184" spans="1:3" ht="15">
      <c r="A184" s="75">
        <v>41007</v>
      </c>
      <c r="B184" s="76" t="s">
        <v>107</v>
      </c>
      <c r="C184" s="77" t="s">
        <v>73</v>
      </c>
    </row>
    <row r="185" spans="1:3" ht="15">
      <c r="A185" s="75">
        <v>41008</v>
      </c>
      <c r="B185" s="76" t="s">
        <v>108</v>
      </c>
      <c r="C185" s="77" t="s">
        <v>73</v>
      </c>
    </row>
    <row r="186" spans="1:3" ht="15">
      <c r="A186" s="75">
        <v>41009</v>
      </c>
      <c r="B186" s="76" t="s">
        <v>109</v>
      </c>
      <c r="C186" s="77" t="s">
        <v>73</v>
      </c>
    </row>
    <row r="187" spans="1:3" ht="15">
      <c r="A187" s="75">
        <v>41010</v>
      </c>
      <c r="B187" s="76" t="s">
        <v>110</v>
      </c>
      <c r="C187" s="77" t="s">
        <v>73</v>
      </c>
    </row>
    <row r="188" spans="1:3" ht="15">
      <c r="A188" s="75">
        <v>41011</v>
      </c>
      <c r="B188" s="76" t="s">
        <v>111</v>
      </c>
      <c r="C188" s="77" t="s">
        <v>73</v>
      </c>
    </row>
    <row r="189" spans="1:3" ht="15">
      <c r="A189" s="75">
        <v>41012</v>
      </c>
      <c r="B189" s="76" t="s">
        <v>112</v>
      </c>
      <c r="C189" s="77" t="s">
        <v>73</v>
      </c>
    </row>
    <row r="190" spans="1:3" ht="15">
      <c r="A190" s="75">
        <v>41013</v>
      </c>
      <c r="B190" s="76" t="s">
        <v>113</v>
      </c>
      <c r="C190" s="77" t="s">
        <v>73</v>
      </c>
    </row>
    <row r="191" spans="1:3" ht="15">
      <c r="A191" s="75">
        <v>41018</v>
      </c>
      <c r="B191" s="76" t="s">
        <v>114</v>
      </c>
      <c r="C191" s="77" t="s">
        <v>89</v>
      </c>
    </row>
    <row r="192" spans="1:3" ht="15">
      <c r="A192" s="75">
        <v>41024</v>
      </c>
      <c r="B192" s="76" t="s">
        <v>115</v>
      </c>
      <c r="C192" s="77" t="s">
        <v>89</v>
      </c>
    </row>
    <row r="193" spans="1:3" ht="15">
      <c r="A193" s="75">
        <v>41025</v>
      </c>
      <c r="B193" s="76" t="s">
        <v>116</v>
      </c>
      <c r="C193" s="77" t="s">
        <v>89</v>
      </c>
    </row>
    <row r="194" spans="1:3" ht="15">
      <c r="A194" s="75">
        <v>41039</v>
      </c>
      <c r="B194" s="76" t="s">
        <v>117</v>
      </c>
      <c r="C194" s="77" t="s">
        <v>73</v>
      </c>
    </row>
    <row r="195" spans="1:3" ht="15">
      <c r="A195" s="75">
        <v>41049</v>
      </c>
      <c r="B195" s="76" t="s">
        <v>118</v>
      </c>
      <c r="C195" s="77" t="s">
        <v>89</v>
      </c>
    </row>
    <row r="196" spans="1:3" ht="15">
      <c r="A196" s="75">
        <v>41055</v>
      </c>
      <c r="B196" s="76" t="s">
        <v>119</v>
      </c>
      <c r="C196" s="77" t="s">
        <v>73</v>
      </c>
    </row>
    <row r="197" spans="1:3" ht="15">
      <c r="A197" s="75">
        <v>41056</v>
      </c>
      <c r="B197" s="76" t="s">
        <v>120</v>
      </c>
      <c r="C197" s="77" t="s">
        <v>73</v>
      </c>
    </row>
    <row r="198" spans="1:3" ht="15">
      <c r="A198" s="75">
        <v>41057</v>
      </c>
      <c r="B198" s="76" t="s">
        <v>121</v>
      </c>
      <c r="C198" s="77" t="s">
        <v>73</v>
      </c>
    </row>
    <row r="199" spans="1:3" ht="15">
      <c r="A199" s="75">
        <v>41098</v>
      </c>
      <c r="B199" s="76" t="s">
        <v>122</v>
      </c>
      <c r="C199" s="77" t="s">
        <v>73</v>
      </c>
    </row>
    <row r="200" spans="1:3" ht="15">
      <c r="A200" s="75">
        <v>41118</v>
      </c>
      <c r="B200" s="76" t="s">
        <v>123</v>
      </c>
      <c r="C200" s="77" t="s">
        <v>73</v>
      </c>
    </row>
    <row r="201" spans="1:3" ht="15">
      <c r="A201" s="75">
        <v>41168</v>
      </c>
      <c r="B201" s="76" t="s">
        <v>124</v>
      </c>
      <c r="C201" s="77" t="s">
        <v>73</v>
      </c>
    </row>
    <row r="202" spans="1:3" ht="15">
      <c r="A202" s="75">
        <v>41169</v>
      </c>
      <c r="B202" s="76" t="s">
        <v>72</v>
      </c>
      <c r="C202" s="77" t="s">
        <v>73</v>
      </c>
    </row>
    <row r="203" spans="1:3" ht="15">
      <c r="A203" s="75">
        <v>41170</v>
      </c>
      <c r="B203" s="76" t="s">
        <v>74</v>
      </c>
      <c r="C203" s="77" t="s">
        <v>73</v>
      </c>
    </row>
    <row r="204" spans="1:3" ht="15">
      <c r="A204" s="75">
        <v>41171</v>
      </c>
      <c r="B204" s="76" t="s">
        <v>75</v>
      </c>
      <c r="C204" s="77" t="s">
        <v>73</v>
      </c>
    </row>
    <row r="205" spans="1:3" ht="15">
      <c r="A205" s="75">
        <v>41177</v>
      </c>
      <c r="B205" s="76" t="s">
        <v>76</v>
      </c>
      <c r="C205" s="77" t="s">
        <v>73</v>
      </c>
    </row>
    <row r="206" spans="1:3" ht="15">
      <c r="A206" s="75">
        <v>41178</v>
      </c>
      <c r="B206" s="76" t="s">
        <v>77</v>
      </c>
      <c r="C206" s="77" t="s">
        <v>73</v>
      </c>
    </row>
    <row r="207" spans="1:3" ht="15">
      <c r="A207" s="75">
        <v>41182</v>
      </c>
      <c r="B207" s="76" t="s">
        <v>78</v>
      </c>
      <c r="C207" s="77" t="s">
        <v>73</v>
      </c>
    </row>
    <row r="208" spans="1:3" ht="15">
      <c r="A208" s="75">
        <v>41183</v>
      </c>
      <c r="B208" s="76" t="s">
        <v>79</v>
      </c>
      <c r="C208" s="77" t="s">
        <v>73</v>
      </c>
    </row>
    <row r="209" spans="1:3" ht="15">
      <c r="A209" s="75">
        <v>41184</v>
      </c>
      <c r="B209" s="76" t="s">
        <v>80</v>
      </c>
      <c r="C209" s="77" t="s">
        <v>73</v>
      </c>
    </row>
    <row r="210" spans="1:3" ht="15">
      <c r="A210" s="75">
        <v>41185</v>
      </c>
      <c r="B210" s="76" t="s">
        <v>81</v>
      </c>
      <c r="C210" s="77" t="s">
        <v>73</v>
      </c>
    </row>
    <row r="211" spans="1:3" ht="15">
      <c r="A211" s="75">
        <v>41186</v>
      </c>
      <c r="B211" s="76" t="s">
        <v>82</v>
      </c>
      <c r="C211" s="77" t="s">
        <v>73</v>
      </c>
    </row>
    <row r="212" spans="1:3" ht="15">
      <c r="A212" s="75">
        <v>41187</v>
      </c>
      <c r="B212" s="76" t="s">
        <v>83</v>
      </c>
      <c r="C212" s="77" t="s">
        <v>73</v>
      </c>
    </row>
    <row r="213" spans="1:3" ht="15">
      <c r="A213" s="75">
        <v>41188</v>
      </c>
      <c r="B213" s="76" t="s">
        <v>84</v>
      </c>
      <c r="C213" s="77" t="s">
        <v>73</v>
      </c>
    </row>
    <row r="214" spans="1:3" ht="15">
      <c r="A214" s="75">
        <v>41189</v>
      </c>
      <c r="B214" s="76" t="s">
        <v>85</v>
      </c>
      <c r="C214" s="77" t="s">
        <v>73</v>
      </c>
    </row>
    <row r="215" spans="1:3" ht="15">
      <c r="A215" s="75">
        <v>41190</v>
      </c>
      <c r="B215" s="76" t="s">
        <v>86</v>
      </c>
      <c r="C215" s="77" t="s">
        <v>73</v>
      </c>
    </row>
    <row r="216" spans="1:3" ht="15">
      <c r="A216" s="75">
        <v>41191</v>
      </c>
      <c r="B216" s="76" t="s">
        <v>87</v>
      </c>
      <c r="C216" s="77" t="s">
        <v>73</v>
      </c>
    </row>
    <row r="217" spans="1:3" ht="15">
      <c r="A217" s="75">
        <v>41210</v>
      </c>
      <c r="B217" s="76" t="s">
        <v>88</v>
      </c>
      <c r="C217" s="77" t="s">
        <v>89</v>
      </c>
    </row>
    <row r="218" spans="1:3" ht="15">
      <c r="A218" s="75">
        <v>41252</v>
      </c>
      <c r="B218" s="76" t="s">
        <v>90</v>
      </c>
      <c r="C218" s="77" t="s">
        <v>73</v>
      </c>
    </row>
    <row r="219" spans="1:3" ht="15">
      <c r="A219" s="75">
        <v>41253</v>
      </c>
      <c r="B219" s="76" t="s">
        <v>91</v>
      </c>
      <c r="C219" s="77" t="s">
        <v>73</v>
      </c>
    </row>
    <row r="220" spans="1:3" ht="15">
      <c r="A220" s="75">
        <v>41254</v>
      </c>
      <c r="B220" s="76" t="s">
        <v>92</v>
      </c>
      <c r="C220" s="77" t="s">
        <v>73</v>
      </c>
    </row>
    <row r="221" spans="1:3" ht="15">
      <c r="A221" s="75">
        <v>41255</v>
      </c>
      <c r="B221" s="76" t="s">
        <v>93</v>
      </c>
      <c r="C221" s="77" t="s">
        <v>73</v>
      </c>
    </row>
    <row r="222" spans="1:3" ht="15">
      <c r="A222" s="75">
        <v>41256</v>
      </c>
      <c r="B222" s="76" t="s">
        <v>94</v>
      </c>
      <c r="C222" s="77" t="s">
        <v>73</v>
      </c>
    </row>
    <row r="223" spans="1:3" ht="15">
      <c r="A223" s="75">
        <v>41257</v>
      </c>
      <c r="B223" s="76" t="s">
        <v>95</v>
      </c>
      <c r="C223" s="77" t="s">
        <v>73</v>
      </c>
    </row>
    <row r="224" spans="1:3" ht="15">
      <c r="A224" s="75">
        <v>41258</v>
      </c>
      <c r="B224" s="76" t="s">
        <v>96</v>
      </c>
      <c r="C224" s="77" t="s">
        <v>73</v>
      </c>
    </row>
    <row r="225" spans="1:3" ht="15">
      <c r="A225" s="75">
        <v>41259</v>
      </c>
      <c r="B225" s="76" t="s">
        <v>97</v>
      </c>
      <c r="C225" s="77" t="s">
        <v>73</v>
      </c>
    </row>
    <row r="226" spans="1:3" ht="15">
      <c r="A226" s="75">
        <v>41266</v>
      </c>
      <c r="B226" s="76" t="s">
        <v>98</v>
      </c>
      <c r="C226" s="77" t="s">
        <v>73</v>
      </c>
    </row>
    <row r="227" spans="1:3" ht="15">
      <c r="A227" s="75">
        <v>41296</v>
      </c>
      <c r="B227" s="76" t="s">
        <v>126</v>
      </c>
      <c r="C227" s="77" t="s">
        <v>127</v>
      </c>
    </row>
    <row r="228" spans="1:3" ht="15">
      <c r="A228" s="75">
        <v>41300</v>
      </c>
      <c r="B228" s="76" t="s">
        <v>101</v>
      </c>
      <c r="C228" s="77" t="s">
        <v>73</v>
      </c>
    </row>
    <row r="229" spans="1:3" ht="15">
      <c r="A229" s="75">
        <v>41301</v>
      </c>
      <c r="B229" s="76" t="s">
        <v>99</v>
      </c>
      <c r="C229" s="77" t="s">
        <v>100</v>
      </c>
    </row>
    <row r="230" spans="1:3" ht="15">
      <c r="A230" s="75">
        <v>41326</v>
      </c>
      <c r="B230" s="76" t="s">
        <v>102</v>
      </c>
      <c r="C230" s="77" t="s">
        <v>73</v>
      </c>
    </row>
    <row r="231" spans="1:3" ht="15">
      <c r="A231" s="75">
        <v>41329</v>
      </c>
      <c r="B231" s="76" t="s">
        <v>103</v>
      </c>
      <c r="C231" s="77" t="s">
        <v>73</v>
      </c>
    </row>
    <row r="232" spans="1:3" ht="15">
      <c r="A232" s="75">
        <v>41330</v>
      </c>
      <c r="B232" s="76" t="s">
        <v>104</v>
      </c>
      <c r="C232" s="77" t="s">
        <v>73</v>
      </c>
    </row>
    <row r="233" spans="1:3" ht="15">
      <c r="A233" s="75">
        <v>41358</v>
      </c>
      <c r="B233" s="76" t="s">
        <v>105</v>
      </c>
      <c r="C233" s="77" t="s">
        <v>73</v>
      </c>
    </row>
    <row r="234" spans="1:3" ht="15">
      <c r="A234" s="75">
        <v>41359</v>
      </c>
      <c r="B234" s="76" t="s">
        <v>106</v>
      </c>
      <c r="C234" s="77" t="s">
        <v>73</v>
      </c>
    </row>
    <row r="235" spans="1:3" ht="15">
      <c r="A235" s="75">
        <v>41360</v>
      </c>
      <c r="B235" s="76" t="s">
        <v>107</v>
      </c>
      <c r="C235" s="77" t="s">
        <v>73</v>
      </c>
    </row>
    <row r="236" spans="1:3" ht="15">
      <c r="A236" s="75">
        <v>41361</v>
      </c>
      <c r="B236" s="76" t="s">
        <v>108</v>
      </c>
      <c r="C236" s="77" t="s">
        <v>73</v>
      </c>
    </row>
    <row r="237" spans="1:3" ht="15">
      <c r="A237" s="75">
        <v>41362</v>
      </c>
      <c r="B237" s="76" t="s">
        <v>109</v>
      </c>
      <c r="C237" s="77" t="s">
        <v>73</v>
      </c>
    </row>
    <row r="238" spans="1:3" ht="15">
      <c r="A238" s="75">
        <v>41363</v>
      </c>
      <c r="B238" s="76" t="s">
        <v>110</v>
      </c>
      <c r="C238" s="77" t="s">
        <v>73</v>
      </c>
    </row>
    <row r="239" spans="1:3" ht="15">
      <c r="A239" s="75">
        <v>41364</v>
      </c>
      <c r="B239" s="76" t="s">
        <v>111</v>
      </c>
      <c r="C239" s="77" t="s">
        <v>73</v>
      </c>
    </row>
    <row r="240" spans="1:3" ht="15">
      <c r="A240" s="75">
        <v>41365</v>
      </c>
      <c r="B240" s="76" t="s">
        <v>112</v>
      </c>
      <c r="C240" s="77" t="s">
        <v>73</v>
      </c>
    </row>
    <row r="241" spans="1:3" ht="15">
      <c r="A241" s="75">
        <v>41366</v>
      </c>
      <c r="B241" s="76" t="s">
        <v>113</v>
      </c>
      <c r="C241" s="77" t="s">
        <v>73</v>
      </c>
    </row>
    <row r="242" spans="1:3" ht="15">
      <c r="A242" s="75">
        <v>41372</v>
      </c>
      <c r="B242" s="76" t="s">
        <v>114</v>
      </c>
      <c r="C242" s="77" t="s">
        <v>89</v>
      </c>
    </row>
    <row r="243" spans="1:3" ht="15">
      <c r="A243" s="75">
        <v>41379</v>
      </c>
      <c r="B243" s="76" t="s">
        <v>115</v>
      </c>
      <c r="C243" s="77" t="s">
        <v>89</v>
      </c>
    </row>
    <row r="244" spans="1:3" ht="15">
      <c r="A244" s="75">
        <v>41380</v>
      </c>
      <c r="B244" s="76" t="s">
        <v>116</v>
      </c>
      <c r="C244" s="77" t="s">
        <v>89</v>
      </c>
    </row>
    <row r="245" spans="1:3" ht="15">
      <c r="A245" s="75">
        <v>41392</v>
      </c>
      <c r="B245" s="76" t="s">
        <v>117</v>
      </c>
      <c r="C245" s="77" t="s">
        <v>73</v>
      </c>
    </row>
    <row r="246" spans="1:3" ht="15">
      <c r="A246" s="75">
        <v>41402</v>
      </c>
      <c r="B246" s="76" t="s">
        <v>118</v>
      </c>
      <c r="C246" s="77" t="s">
        <v>89</v>
      </c>
    </row>
    <row r="247" spans="1:3" ht="15">
      <c r="A247" s="75">
        <v>41408</v>
      </c>
      <c r="B247" s="76" t="s">
        <v>119</v>
      </c>
      <c r="C247" s="77" t="s">
        <v>73</v>
      </c>
    </row>
    <row r="248" spans="1:3" ht="15">
      <c r="A248" s="75">
        <v>41409</v>
      </c>
      <c r="B248" s="76" t="s">
        <v>120</v>
      </c>
      <c r="C248" s="77" t="s">
        <v>73</v>
      </c>
    </row>
    <row r="249" spans="1:3" ht="15">
      <c r="A249" s="75">
        <v>41410</v>
      </c>
      <c r="B249" s="76" t="s">
        <v>121</v>
      </c>
      <c r="C249" s="77" t="s">
        <v>73</v>
      </c>
    </row>
    <row r="250" spans="1:3" ht="15">
      <c r="A250" s="75">
        <v>41450</v>
      </c>
      <c r="B250" s="76" t="s">
        <v>122</v>
      </c>
      <c r="C250" s="77" t="s">
        <v>73</v>
      </c>
    </row>
    <row r="251" spans="1:3" ht="15">
      <c r="A251" s="75">
        <v>41471</v>
      </c>
      <c r="B251" s="76" t="s">
        <v>123</v>
      </c>
      <c r="C251" s="77" t="s">
        <v>73</v>
      </c>
    </row>
    <row r="252" spans="1:3" ht="15">
      <c r="A252" s="75">
        <v>41521</v>
      </c>
      <c r="B252" s="76" t="s">
        <v>124</v>
      </c>
      <c r="C252" s="77" t="s">
        <v>73</v>
      </c>
    </row>
    <row r="253" spans="1:3" ht="15">
      <c r="A253" s="75">
        <v>41522</v>
      </c>
      <c r="B253" s="76" t="s">
        <v>72</v>
      </c>
      <c r="C253" s="77" t="s">
        <v>73</v>
      </c>
    </row>
    <row r="254" spans="1:3" ht="15">
      <c r="A254" s="75">
        <v>41523</v>
      </c>
      <c r="B254" s="76" t="s">
        <v>74</v>
      </c>
      <c r="C254" s="77" t="s">
        <v>73</v>
      </c>
    </row>
    <row r="255" spans="1:3" ht="15">
      <c r="A255" s="75">
        <v>41525</v>
      </c>
      <c r="B255" s="76" t="s">
        <v>75</v>
      </c>
      <c r="C255" s="77" t="s">
        <v>73</v>
      </c>
    </row>
    <row r="256" spans="1:3" ht="15">
      <c r="A256" s="75">
        <v>41530</v>
      </c>
      <c r="B256" s="76" t="s">
        <v>76</v>
      </c>
      <c r="C256" s="77" t="s">
        <v>73</v>
      </c>
    </row>
    <row r="257" spans="1:3" ht="15">
      <c r="A257" s="75">
        <v>41531</v>
      </c>
      <c r="B257" s="76" t="s">
        <v>77</v>
      </c>
      <c r="C257" s="77" t="s">
        <v>73</v>
      </c>
    </row>
    <row r="258" spans="1:3" ht="15">
      <c r="A258" s="75">
        <v>41535</v>
      </c>
      <c r="B258" s="76" t="s">
        <v>78</v>
      </c>
      <c r="C258" s="77" t="s">
        <v>73</v>
      </c>
    </row>
    <row r="259" spans="1:3" ht="15">
      <c r="A259" s="75">
        <v>41536</v>
      </c>
      <c r="B259" s="76" t="s">
        <v>79</v>
      </c>
      <c r="C259" s="77" t="s">
        <v>73</v>
      </c>
    </row>
    <row r="260" spans="1:3" ht="15">
      <c r="A260" s="75">
        <v>41537</v>
      </c>
      <c r="B260" s="76" t="s">
        <v>80</v>
      </c>
      <c r="C260" s="77" t="s">
        <v>73</v>
      </c>
    </row>
    <row r="261" spans="1:3" ht="15">
      <c r="A261" s="75">
        <v>41538</v>
      </c>
      <c r="B261" s="76" t="s">
        <v>81</v>
      </c>
      <c r="C261" s="77" t="s">
        <v>73</v>
      </c>
    </row>
    <row r="262" spans="1:3" ht="15">
      <c r="A262" s="75">
        <v>41539</v>
      </c>
      <c r="B262" s="76" t="s">
        <v>82</v>
      </c>
      <c r="C262" s="77" t="s">
        <v>73</v>
      </c>
    </row>
    <row r="263" spans="1:3" ht="15">
      <c r="A263" s="75">
        <v>41540</v>
      </c>
      <c r="B263" s="76" t="s">
        <v>83</v>
      </c>
      <c r="C263" s="77" t="s">
        <v>73</v>
      </c>
    </row>
    <row r="264" spans="1:3" ht="15">
      <c r="A264" s="75">
        <v>41541</v>
      </c>
      <c r="B264" s="76" t="s">
        <v>84</v>
      </c>
      <c r="C264" s="77" t="s">
        <v>73</v>
      </c>
    </row>
    <row r="265" spans="1:3" ht="15">
      <c r="A265" s="75">
        <v>41542</v>
      </c>
      <c r="B265" s="76" t="s">
        <v>85</v>
      </c>
      <c r="C265" s="77" t="s">
        <v>73</v>
      </c>
    </row>
    <row r="266" spans="1:3" ht="15">
      <c r="A266" s="75">
        <v>41543</v>
      </c>
      <c r="B266" s="76" t="s">
        <v>86</v>
      </c>
      <c r="C266" s="77" t="s">
        <v>73</v>
      </c>
    </row>
    <row r="267" spans="1:3" ht="15">
      <c r="A267" s="75">
        <v>41544</v>
      </c>
      <c r="B267" s="76" t="s">
        <v>87</v>
      </c>
      <c r="C267" s="77" t="s">
        <v>73</v>
      </c>
    </row>
    <row r="268" spans="1:3" ht="15">
      <c r="A268" s="75">
        <v>41563</v>
      </c>
      <c r="B268" s="76" t="s">
        <v>88</v>
      </c>
      <c r="C268" s="77" t="s">
        <v>89</v>
      </c>
    </row>
    <row r="269" spans="1:3" ht="15">
      <c r="A269" s="75">
        <v>41606</v>
      </c>
      <c r="B269" s="76" t="s">
        <v>90</v>
      </c>
      <c r="C269" s="77" t="s">
        <v>73</v>
      </c>
    </row>
    <row r="270" spans="1:3" ht="15">
      <c r="A270" s="75">
        <v>41607</v>
      </c>
      <c r="B270" s="76" t="s">
        <v>91</v>
      </c>
      <c r="C270" s="77" t="s">
        <v>73</v>
      </c>
    </row>
    <row r="271" spans="1:3" ht="15">
      <c r="A271" s="75">
        <v>41608</v>
      </c>
      <c r="B271" s="76" t="s">
        <v>92</v>
      </c>
      <c r="C271" s="77" t="s">
        <v>73</v>
      </c>
    </row>
    <row r="272" spans="1:3" ht="15">
      <c r="A272" s="75">
        <v>41609</v>
      </c>
      <c r="B272" s="76" t="s">
        <v>93</v>
      </c>
      <c r="C272" s="77" t="s">
        <v>73</v>
      </c>
    </row>
    <row r="273" spans="1:3" ht="15">
      <c r="A273" s="75">
        <v>41610</v>
      </c>
      <c r="B273" s="76" t="s">
        <v>94</v>
      </c>
      <c r="C273" s="77" t="s">
        <v>73</v>
      </c>
    </row>
    <row r="274" spans="1:3" ht="15">
      <c r="A274" s="75">
        <v>41611</v>
      </c>
      <c r="B274" s="76" t="s">
        <v>95</v>
      </c>
      <c r="C274" s="77" t="s">
        <v>73</v>
      </c>
    </row>
    <row r="275" spans="1:3" ht="15">
      <c r="A275" s="75">
        <v>41612</v>
      </c>
      <c r="B275" s="76" t="s">
        <v>96</v>
      </c>
      <c r="C275" s="77" t="s">
        <v>73</v>
      </c>
    </row>
    <row r="276" spans="1:3" ht="15">
      <c r="A276" s="75">
        <v>41613</v>
      </c>
      <c r="B276" s="76" t="s">
        <v>97</v>
      </c>
      <c r="C276" s="77" t="s">
        <v>73</v>
      </c>
    </row>
    <row r="277" spans="1:3" ht="15">
      <c r="A277" s="75">
        <v>41620</v>
      </c>
      <c r="B277" s="76" t="s">
        <v>98</v>
      </c>
      <c r="C277" s="77" t="s">
        <v>73</v>
      </c>
    </row>
    <row r="278" spans="1:3" ht="15">
      <c r="A278" s="75">
        <v>41655</v>
      </c>
      <c r="B278" s="76" t="s">
        <v>101</v>
      </c>
      <c r="C278" s="77" t="s">
        <v>73</v>
      </c>
    </row>
    <row r="279" spans="1:3" ht="15">
      <c r="A279" s="75">
        <v>41666</v>
      </c>
      <c r="B279" s="76" t="s">
        <v>99</v>
      </c>
      <c r="C279" s="77" t="s">
        <v>100</v>
      </c>
    </row>
    <row r="280" spans="1:3" ht="15">
      <c r="A280" s="75">
        <v>41711</v>
      </c>
      <c r="B280" s="76" t="s">
        <v>102</v>
      </c>
      <c r="C280" s="77" t="s">
        <v>73</v>
      </c>
    </row>
    <row r="281" spans="1:3" ht="15">
      <c r="A281" s="75">
        <v>41714</v>
      </c>
      <c r="B281" s="76" t="s">
        <v>125</v>
      </c>
      <c r="C281" s="77" t="s">
        <v>73</v>
      </c>
    </row>
    <row r="282" spans="1:3" ht="15">
      <c r="A282" s="75">
        <v>41715</v>
      </c>
      <c r="B282" s="76" t="s">
        <v>104</v>
      </c>
      <c r="C282" s="77" t="s">
        <v>73</v>
      </c>
    </row>
    <row r="283" spans="1:3" ht="15">
      <c r="A283" s="75">
        <v>41743</v>
      </c>
      <c r="B283" s="76" t="s">
        <v>105</v>
      </c>
      <c r="C283" s="77" t="s">
        <v>73</v>
      </c>
    </row>
    <row r="284" spans="1:3" ht="15">
      <c r="A284" s="75">
        <v>41744</v>
      </c>
      <c r="B284" s="76" t="s">
        <v>106</v>
      </c>
      <c r="C284" s="77" t="s">
        <v>73</v>
      </c>
    </row>
    <row r="285" spans="1:3" ht="15">
      <c r="A285" s="75">
        <v>41745</v>
      </c>
      <c r="B285" s="76" t="s">
        <v>107</v>
      </c>
      <c r="C285" s="77" t="s">
        <v>73</v>
      </c>
    </row>
    <row r="286" spans="1:3" ht="15">
      <c r="A286" s="75">
        <v>41746</v>
      </c>
      <c r="B286" s="76" t="s">
        <v>108</v>
      </c>
      <c r="C286" s="77" t="s">
        <v>73</v>
      </c>
    </row>
    <row r="287" spans="1:3" ht="15">
      <c r="A287" s="75">
        <v>41747</v>
      </c>
      <c r="B287" s="76" t="s">
        <v>109</v>
      </c>
      <c r="C287" s="77" t="s">
        <v>73</v>
      </c>
    </row>
    <row r="288" spans="1:3" ht="15">
      <c r="A288" s="75">
        <v>41748</v>
      </c>
      <c r="B288" s="76" t="s">
        <v>110</v>
      </c>
      <c r="C288" s="77" t="s">
        <v>73</v>
      </c>
    </row>
    <row r="289" spans="1:3" ht="15">
      <c r="A289" s="75">
        <v>41749</v>
      </c>
      <c r="B289" s="76" t="s">
        <v>111</v>
      </c>
      <c r="C289" s="77" t="s">
        <v>73</v>
      </c>
    </row>
    <row r="290" spans="1:3" ht="15">
      <c r="A290" s="75">
        <v>41750</v>
      </c>
      <c r="B290" s="76" t="s">
        <v>112</v>
      </c>
      <c r="C290" s="77" t="s">
        <v>73</v>
      </c>
    </row>
    <row r="291" spans="1:3" ht="15">
      <c r="A291" s="75">
        <v>41751</v>
      </c>
      <c r="B291" s="76" t="s">
        <v>113</v>
      </c>
      <c r="C291" s="77" t="s">
        <v>73</v>
      </c>
    </row>
    <row r="292" spans="1:3" ht="15">
      <c r="A292" s="75">
        <v>41756</v>
      </c>
      <c r="B292" s="76" t="s">
        <v>114</v>
      </c>
      <c r="C292" s="77" t="s">
        <v>89</v>
      </c>
    </row>
    <row r="293" spans="1:3" ht="15">
      <c r="A293" s="75">
        <v>41764</v>
      </c>
      <c r="B293" s="76" t="s">
        <v>115</v>
      </c>
      <c r="C293" s="77" t="s">
        <v>89</v>
      </c>
    </row>
    <row r="294" spans="1:3" ht="15">
      <c r="A294" s="75">
        <v>41765</v>
      </c>
      <c r="B294" s="76" t="s">
        <v>116</v>
      </c>
      <c r="C294" s="77" t="s">
        <v>89</v>
      </c>
    </row>
    <row r="295" spans="1:3" ht="15">
      <c r="A295" s="75">
        <v>41777</v>
      </c>
      <c r="B295" s="76" t="s">
        <v>117</v>
      </c>
      <c r="C295" s="77" t="s">
        <v>73</v>
      </c>
    </row>
    <row r="296" spans="1:3" ht="15">
      <c r="A296" s="75">
        <v>41787</v>
      </c>
      <c r="B296" s="76" t="s">
        <v>118</v>
      </c>
      <c r="C296" s="77" t="s">
        <v>89</v>
      </c>
    </row>
    <row r="297" spans="1:3" ht="15">
      <c r="A297" s="75">
        <v>41793</v>
      </c>
      <c r="B297" s="76" t="s">
        <v>119</v>
      </c>
      <c r="C297" s="77" t="s">
        <v>73</v>
      </c>
    </row>
    <row r="298" spans="1:3" ht="15">
      <c r="A298" s="75">
        <v>41794</v>
      </c>
      <c r="B298" s="76" t="s">
        <v>120</v>
      </c>
      <c r="C298" s="77" t="s">
        <v>73</v>
      </c>
    </row>
    <row r="299" spans="1:3" ht="15">
      <c r="A299" s="75">
        <v>41795</v>
      </c>
      <c r="B299" s="76" t="s">
        <v>121</v>
      </c>
      <c r="C299" s="77" t="s">
        <v>73</v>
      </c>
    </row>
    <row r="300" spans="1:3" ht="15">
      <c r="A300" s="75">
        <v>41835</v>
      </c>
      <c r="B300" s="76" t="s">
        <v>122</v>
      </c>
      <c r="C300" s="77" t="s">
        <v>73</v>
      </c>
    </row>
    <row r="301" spans="1:3" ht="15">
      <c r="A301" s="75">
        <v>41856</v>
      </c>
      <c r="B301" s="76" t="s">
        <v>123</v>
      </c>
      <c r="C301" s="77" t="s">
        <v>73</v>
      </c>
    </row>
    <row r="302" spans="1:3" ht="15">
      <c r="A302" s="75">
        <v>41906</v>
      </c>
      <c r="B302" s="76" t="s">
        <v>124</v>
      </c>
      <c r="C302" s="77" t="s">
        <v>73</v>
      </c>
    </row>
    <row r="303" spans="1:3" ht="15">
      <c r="A303" s="75">
        <v>41907</v>
      </c>
      <c r="B303" s="76" t="s">
        <v>72</v>
      </c>
      <c r="C303" s="77" t="s">
        <v>73</v>
      </c>
    </row>
    <row r="304" spans="1:3" ht="15">
      <c r="A304" s="75">
        <v>41908</v>
      </c>
      <c r="B304" s="76" t="s">
        <v>74</v>
      </c>
      <c r="C304" s="77" t="s">
        <v>73</v>
      </c>
    </row>
    <row r="305" spans="1:3" ht="15">
      <c r="A305" s="75">
        <v>41910</v>
      </c>
      <c r="B305" s="76" t="s">
        <v>75</v>
      </c>
      <c r="C305" s="77" t="s">
        <v>73</v>
      </c>
    </row>
    <row r="306" spans="1:3" ht="15">
      <c r="A306" s="75">
        <v>41915</v>
      </c>
      <c r="B306" s="76" t="s">
        <v>76</v>
      </c>
      <c r="C306" s="77" t="s">
        <v>73</v>
      </c>
    </row>
    <row r="307" spans="1:3" ht="15">
      <c r="A307" s="75">
        <v>41916</v>
      </c>
      <c r="B307" s="76" t="s">
        <v>77</v>
      </c>
      <c r="C307" s="77" t="s">
        <v>73</v>
      </c>
    </row>
    <row r="308" spans="1:3" ht="15">
      <c r="A308" s="75">
        <v>41920</v>
      </c>
      <c r="B308" s="76" t="s">
        <v>78</v>
      </c>
      <c r="C308" s="77" t="s">
        <v>73</v>
      </c>
    </row>
    <row r="309" spans="1:3" ht="15">
      <c r="A309" s="75">
        <v>41921</v>
      </c>
      <c r="B309" s="76" t="s">
        <v>79</v>
      </c>
      <c r="C309" s="77" t="s">
        <v>73</v>
      </c>
    </row>
    <row r="310" spans="1:3" ht="15">
      <c r="A310" s="75">
        <v>41922</v>
      </c>
      <c r="B310" s="76" t="s">
        <v>80</v>
      </c>
      <c r="C310" s="77" t="s">
        <v>73</v>
      </c>
    </row>
    <row r="311" spans="1:3" ht="15">
      <c r="A311" s="75">
        <v>41923</v>
      </c>
      <c r="B311" s="76" t="s">
        <v>81</v>
      </c>
      <c r="C311" s="77" t="s">
        <v>73</v>
      </c>
    </row>
    <row r="312" spans="1:3" ht="15">
      <c r="A312" s="75">
        <v>41924</v>
      </c>
      <c r="B312" s="76" t="s">
        <v>82</v>
      </c>
      <c r="C312" s="77" t="s">
        <v>73</v>
      </c>
    </row>
    <row r="313" spans="1:3" ht="15">
      <c r="A313" s="75">
        <v>41925</v>
      </c>
      <c r="B313" s="76" t="s">
        <v>83</v>
      </c>
      <c r="C313" s="77" t="s">
        <v>73</v>
      </c>
    </row>
    <row r="314" spans="1:3" ht="15">
      <c r="A314" s="75">
        <v>41926</v>
      </c>
      <c r="B314" s="76" t="s">
        <v>84</v>
      </c>
      <c r="C314" s="77" t="s">
        <v>73</v>
      </c>
    </row>
    <row r="315" spans="1:3" ht="15">
      <c r="A315" s="75">
        <v>41927</v>
      </c>
      <c r="B315" s="76" t="s">
        <v>85</v>
      </c>
      <c r="C315" s="77" t="s">
        <v>73</v>
      </c>
    </row>
    <row r="316" spans="1:3" ht="15">
      <c r="A316" s="75">
        <v>41928</v>
      </c>
      <c r="B316" s="76" t="s">
        <v>86</v>
      </c>
      <c r="C316" s="77" t="s">
        <v>73</v>
      </c>
    </row>
    <row r="317" spans="1:3" ht="15">
      <c r="A317" s="75">
        <v>41929</v>
      </c>
      <c r="B317" s="76" t="s">
        <v>87</v>
      </c>
      <c r="C317" s="77" t="s">
        <v>73</v>
      </c>
    </row>
    <row r="318" spans="1:3" ht="15">
      <c r="A318" s="75">
        <v>41948</v>
      </c>
      <c r="B318" s="76" t="s">
        <v>88</v>
      </c>
      <c r="C318" s="77" t="s">
        <v>89</v>
      </c>
    </row>
    <row r="319" spans="1:3" ht="15">
      <c r="A319" s="75">
        <v>41990</v>
      </c>
      <c r="B319" s="76" t="s">
        <v>90</v>
      </c>
      <c r="C319" s="77" t="s">
        <v>73</v>
      </c>
    </row>
    <row r="320" spans="1:3" ht="15">
      <c r="A320" s="75">
        <v>41991</v>
      </c>
      <c r="B320" s="76" t="s">
        <v>91</v>
      </c>
      <c r="C320" s="77" t="s">
        <v>73</v>
      </c>
    </row>
    <row r="321" spans="1:3" ht="15">
      <c r="A321" s="75">
        <v>41992</v>
      </c>
      <c r="B321" s="76" t="s">
        <v>92</v>
      </c>
      <c r="C321" s="77" t="s">
        <v>73</v>
      </c>
    </row>
    <row r="322" spans="1:3" ht="15">
      <c r="A322" s="75">
        <v>41993</v>
      </c>
      <c r="B322" s="76" t="s">
        <v>93</v>
      </c>
      <c r="C322" s="77" t="s">
        <v>73</v>
      </c>
    </row>
    <row r="323" spans="1:3" ht="15">
      <c r="A323" s="75">
        <v>41994</v>
      </c>
      <c r="B323" s="76" t="s">
        <v>94</v>
      </c>
      <c r="C323" s="77" t="s">
        <v>73</v>
      </c>
    </row>
    <row r="324" spans="1:3" ht="15">
      <c r="A324" s="75">
        <v>41995</v>
      </c>
      <c r="B324" s="76" t="s">
        <v>95</v>
      </c>
      <c r="C324" s="77" t="s">
        <v>73</v>
      </c>
    </row>
    <row r="325" spans="1:3" ht="15">
      <c r="A325" s="75">
        <v>41996</v>
      </c>
      <c r="B325" s="76" t="s">
        <v>96</v>
      </c>
      <c r="C325" s="77" t="s">
        <v>73</v>
      </c>
    </row>
    <row r="326" spans="1:3" ht="15">
      <c r="A326" s="75">
        <v>41997</v>
      </c>
      <c r="B326" s="76" t="s">
        <v>97</v>
      </c>
      <c r="C326" s="77" t="s">
        <v>73</v>
      </c>
    </row>
    <row r="327" spans="1:3" ht="15">
      <c r="A327" s="75">
        <v>42005</v>
      </c>
      <c r="B327" s="76" t="s">
        <v>98</v>
      </c>
      <c r="C327" s="77" t="s">
        <v>73</v>
      </c>
    </row>
    <row r="328" spans="1:3" ht="15">
      <c r="A328" s="75">
        <v>42031</v>
      </c>
      <c r="B328" s="76" t="s">
        <v>99</v>
      </c>
      <c r="C328" s="77" t="s">
        <v>100</v>
      </c>
    </row>
    <row r="329" spans="1:3" ht="15">
      <c r="A329" s="75">
        <v>42039</v>
      </c>
      <c r="B329" s="76" t="s">
        <v>101</v>
      </c>
      <c r="C329" s="77" t="s">
        <v>73</v>
      </c>
    </row>
    <row r="330" spans="1:3" ht="15">
      <c r="A330" s="75">
        <v>42067</v>
      </c>
      <c r="B330" s="76" t="s">
        <v>102</v>
      </c>
      <c r="C330" s="77" t="s">
        <v>73</v>
      </c>
    </row>
    <row r="331" spans="1:3" ht="15">
      <c r="A331" s="75">
        <v>42068</v>
      </c>
      <c r="B331" s="76" t="s">
        <v>103</v>
      </c>
      <c r="C331" s="77" t="s">
        <v>73</v>
      </c>
    </row>
    <row r="332" spans="1:3" ht="15">
      <c r="A332" s="75">
        <v>42069</v>
      </c>
      <c r="B332" s="76" t="s">
        <v>104</v>
      </c>
      <c r="C332" s="77" t="s">
        <v>73</v>
      </c>
    </row>
    <row r="333" spans="1:3" ht="15">
      <c r="A333" s="75">
        <v>42097</v>
      </c>
      <c r="B333" s="76" t="s">
        <v>105</v>
      </c>
      <c r="C333" s="77" t="s">
        <v>73</v>
      </c>
    </row>
    <row r="334" spans="1:3" ht="15">
      <c r="A334" s="75">
        <v>42098</v>
      </c>
      <c r="B334" s="76" t="s">
        <v>106</v>
      </c>
      <c r="C334" s="77" t="s">
        <v>73</v>
      </c>
    </row>
    <row r="335" spans="1:3" ht="15">
      <c r="A335" s="75">
        <v>42099</v>
      </c>
      <c r="B335" s="76" t="s">
        <v>107</v>
      </c>
      <c r="C335" s="77" t="s">
        <v>73</v>
      </c>
    </row>
    <row r="336" spans="1:3" ht="15">
      <c r="A336" s="75">
        <v>42100</v>
      </c>
      <c r="B336" s="76" t="s">
        <v>108</v>
      </c>
      <c r="C336" s="77" t="s">
        <v>73</v>
      </c>
    </row>
    <row r="337" spans="1:3" ht="15">
      <c r="A337" s="75">
        <v>42101</v>
      </c>
      <c r="B337" s="76" t="s">
        <v>109</v>
      </c>
      <c r="C337" s="77" t="s">
        <v>73</v>
      </c>
    </row>
    <row r="338" spans="1:3" ht="15">
      <c r="A338" s="75">
        <v>42102</v>
      </c>
      <c r="B338" s="76" t="s">
        <v>110</v>
      </c>
      <c r="C338" s="77" t="s">
        <v>73</v>
      </c>
    </row>
    <row r="339" spans="1:3" ht="15">
      <c r="A339" s="75">
        <v>42103</v>
      </c>
      <c r="B339" s="76" t="s">
        <v>111</v>
      </c>
      <c r="C339" s="77" t="s">
        <v>73</v>
      </c>
    </row>
    <row r="340" spans="1:3" ht="15">
      <c r="A340" s="75">
        <v>42104</v>
      </c>
      <c r="B340" s="76" t="s">
        <v>112</v>
      </c>
      <c r="C340" s="77" t="s">
        <v>73</v>
      </c>
    </row>
    <row r="341" spans="1:3" ht="15">
      <c r="A341" s="75">
        <v>42105</v>
      </c>
      <c r="B341" s="76" t="s">
        <v>113</v>
      </c>
      <c r="C341" s="77" t="s">
        <v>73</v>
      </c>
    </row>
    <row r="342" spans="1:3" ht="15">
      <c r="A342" s="75">
        <v>42110</v>
      </c>
      <c r="B342" s="76" t="s">
        <v>114</v>
      </c>
      <c r="C342" s="77" t="s">
        <v>89</v>
      </c>
    </row>
    <row r="343" spans="1:3" ht="15">
      <c r="A343" s="75">
        <v>42116</v>
      </c>
      <c r="B343" s="76" t="s">
        <v>115</v>
      </c>
      <c r="C343" s="77" t="s">
        <v>89</v>
      </c>
    </row>
    <row r="344" spans="1:3" ht="15">
      <c r="A344" s="75">
        <v>42117</v>
      </c>
      <c r="B344" s="76" t="s">
        <v>116</v>
      </c>
      <c r="C344" s="77" t="s">
        <v>89</v>
      </c>
    </row>
    <row r="345" spans="1:3" ht="15">
      <c r="A345" s="75">
        <v>42131</v>
      </c>
      <c r="B345" s="76" t="s">
        <v>117</v>
      </c>
      <c r="C345" s="77" t="s">
        <v>73</v>
      </c>
    </row>
    <row r="346" spans="1:3" ht="15">
      <c r="A346" s="75">
        <v>42141</v>
      </c>
      <c r="B346" s="76" t="s">
        <v>118</v>
      </c>
      <c r="C346" s="77" t="s">
        <v>89</v>
      </c>
    </row>
    <row r="347" spans="1:3" ht="15">
      <c r="A347" s="75">
        <v>42147</v>
      </c>
      <c r="B347" s="76" t="s">
        <v>119</v>
      </c>
      <c r="C347" s="77" t="s">
        <v>73</v>
      </c>
    </row>
    <row r="348" spans="1:3" ht="15">
      <c r="A348" s="75">
        <v>42148</v>
      </c>
      <c r="B348" s="76" t="s">
        <v>120</v>
      </c>
      <c r="C348" s="77" t="s">
        <v>73</v>
      </c>
    </row>
    <row r="349" spans="1:3" ht="15">
      <c r="A349" s="75">
        <v>42149</v>
      </c>
      <c r="B349" s="76" t="s">
        <v>121</v>
      </c>
      <c r="C349" s="77" t="s">
        <v>73</v>
      </c>
    </row>
    <row r="350" spans="1:3" ht="15">
      <c r="A350" s="75">
        <v>42187</v>
      </c>
      <c r="B350" s="76" t="s">
        <v>122</v>
      </c>
      <c r="C350" s="77" t="s">
        <v>73</v>
      </c>
    </row>
    <row r="351" spans="1:3" ht="15">
      <c r="A351" s="75">
        <v>42208</v>
      </c>
      <c r="B351" s="76" t="s">
        <v>123</v>
      </c>
      <c r="C351" s="77" t="s">
        <v>73</v>
      </c>
    </row>
    <row r="352" spans="1:3" ht="15">
      <c r="A352" s="75">
        <v>42260</v>
      </c>
      <c r="B352" s="76" t="s">
        <v>124</v>
      </c>
      <c r="C352" s="77" t="s">
        <v>73</v>
      </c>
    </row>
    <row r="353" spans="1:3" ht="15">
      <c r="A353" s="75">
        <v>42261</v>
      </c>
      <c r="B353" s="76" t="s">
        <v>72</v>
      </c>
      <c r="C353" s="77" t="s">
        <v>73</v>
      </c>
    </row>
    <row r="354" spans="1:3" ht="15">
      <c r="A354" s="75">
        <v>42262</v>
      </c>
      <c r="B354" s="76" t="s">
        <v>74</v>
      </c>
      <c r="C354" s="77" t="s">
        <v>73</v>
      </c>
    </row>
    <row r="355" spans="1:3" ht="15">
      <c r="A355" s="75">
        <v>42263</v>
      </c>
      <c r="B355" s="76" t="s">
        <v>75</v>
      </c>
      <c r="C355" s="77" t="s">
        <v>73</v>
      </c>
    </row>
    <row r="356" spans="1:3" ht="15">
      <c r="A356" s="75">
        <v>42269</v>
      </c>
      <c r="B356" s="76" t="s">
        <v>76</v>
      </c>
      <c r="C356" s="77" t="s">
        <v>73</v>
      </c>
    </row>
    <row r="357" spans="1:3" ht="15">
      <c r="A357" s="75">
        <v>42270</v>
      </c>
      <c r="B357" s="76" t="s">
        <v>77</v>
      </c>
      <c r="C357" s="77" t="s">
        <v>73</v>
      </c>
    </row>
    <row r="358" spans="1:3" ht="15">
      <c r="A358" s="75">
        <v>42274</v>
      </c>
      <c r="B358" s="76" t="s">
        <v>78</v>
      </c>
      <c r="C358" s="77" t="s">
        <v>73</v>
      </c>
    </row>
    <row r="359" spans="1:3" ht="15">
      <c r="A359" s="75">
        <v>42275</v>
      </c>
      <c r="B359" s="76" t="s">
        <v>79</v>
      </c>
      <c r="C359" s="77" t="s">
        <v>73</v>
      </c>
    </row>
    <row r="360" spans="1:3" ht="15">
      <c r="A360" s="75">
        <v>42276</v>
      </c>
      <c r="B360" s="76" t="s">
        <v>80</v>
      </c>
      <c r="C360" s="77" t="s">
        <v>73</v>
      </c>
    </row>
    <row r="361" spans="1:3" ht="15">
      <c r="A361" s="75">
        <v>42277</v>
      </c>
      <c r="B361" s="76" t="s">
        <v>81</v>
      </c>
      <c r="C361" s="77" t="s">
        <v>73</v>
      </c>
    </row>
    <row r="362" spans="1:3" ht="15">
      <c r="A362" s="75">
        <v>42278</v>
      </c>
      <c r="B362" s="76" t="s">
        <v>82</v>
      </c>
      <c r="C362" s="77" t="s">
        <v>73</v>
      </c>
    </row>
    <row r="363" spans="1:3" ht="15">
      <c r="A363" s="75">
        <v>42279</v>
      </c>
      <c r="B363" s="76" t="s">
        <v>83</v>
      </c>
      <c r="C363" s="77" t="s">
        <v>73</v>
      </c>
    </row>
    <row r="364" spans="1:3" ht="15">
      <c r="A364" s="75">
        <v>42280</v>
      </c>
      <c r="B364" s="76" t="s">
        <v>84</v>
      </c>
      <c r="C364" s="77" t="s">
        <v>73</v>
      </c>
    </row>
    <row r="365" spans="1:3" ht="15">
      <c r="A365" s="75">
        <v>42281</v>
      </c>
      <c r="B365" s="76" t="s">
        <v>85</v>
      </c>
      <c r="C365" s="77" t="s">
        <v>73</v>
      </c>
    </row>
    <row r="366" spans="1:3" ht="15">
      <c r="A366" s="75">
        <v>42282</v>
      </c>
      <c r="B366" s="76" t="s">
        <v>86</v>
      </c>
      <c r="C366" s="77" t="s">
        <v>73</v>
      </c>
    </row>
    <row r="367" spans="1:3" ht="15">
      <c r="A367" s="75">
        <v>42283</v>
      </c>
      <c r="B367" s="76" t="s">
        <v>87</v>
      </c>
      <c r="C367" s="77" t="s">
        <v>73</v>
      </c>
    </row>
    <row r="368" spans="1:3" ht="15">
      <c r="A368" s="75">
        <v>42302</v>
      </c>
      <c r="B368" s="76" t="s">
        <v>88</v>
      </c>
      <c r="C368" s="77" t="s">
        <v>89</v>
      </c>
    </row>
    <row r="369" spans="1:3" ht="15">
      <c r="A369" s="75">
        <v>42345</v>
      </c>
      <c r="B369" s="76" t="s">
        <v>90</v>
      </c>
      <c r="C369" s="77" t="s">
        <v>73</v>
      </c>
    </row>
    <row r="370" spans="1:3" ht="15">
      <c r="A370" s="75">
        <v>42346</v>
      </c>
      <c r="B370" s="76" t="s">
        <v>91</v>
      </c>
      <c r="C370" s="77" t="s">
        <v>73</v>
      </c>
    </row>
    <row r="371" spans="1:3" ht="15">
      <c r="A371" s="75">
        <v>42347</v>
      </c>
      <c r="B371" s="76" t="s">
        <v>92</v>
      </c>
      <c r="C371" s="77" t="s">
        <v>73</v>
      </c>
    </row>
    <row r="372" spans="1:3" ht="15">
      <c r="A372" s="75">
        <v>42348</v>
      </c>
      <c r="B372" s="76" t="s">
        <v>93</v>
      </c>
      <c r="C372" s="77" t="s">
        <v>73</v>
      </c>
    </row>
    <row r="373" spans="1:3" ht="15">
      <c r="A373" s="75">
        <v>42349</v>
      </c>
      <c r="B373" s="76" t="s">
        <v>94</v>
      </c>
      <c r="C373" s="77" t="s">
        <v>73</v>
      </c>
    </row>
    <row r="374" spans="1:3" ht="15">
      <c r="A374" s="75">
        <v>42350</v>
      </c>
      <c r="B374" s="76" t="s">
        <v>95</v>
      </c>
      <c r="C374" s="77" t="s">
        <v>73</v>
      </c>
    </row>
    <row r="375" spans="1:3" ht="15">
      <c r="A375" s="75">
        <v>42351</v>
      </c>
      <c r="B375" s="76" t="s">
        <v>96</v>
      </c>
      <c r="C375" s="77" t="s">
        <v>73</v>
      </c>
    </row>
    <row r="376" spans="1:3" ht="15">
      <c r="A376" s="75">
        <v>42352</v>
      </c>
      <c r="B376" s="76" t="s">
        <v>97</v>
      </c>
      <c r="C376" s="77" t="s">
        <v>73</v>
      </c>
    </row>
    <row r="377" spans="1:3" ht="15">
      <c r="A377" s="75">
        <v>42360</v>
      </c>
      <c r="B377" s="76" t="s">
        <v>98</v>
      </c>
      <c r="C377" s="77" t="s">
        <v>73</v>
      </c>
    </row>
    <row r="378" spans="1:3" ht="15">
      <c r="A378" s="75">
        <v>42394</v>
      </c>
      <c r="B378" s="76" t="s">
        <v>101</v>
      </c>
      <c r="C378" s="77" t="s">
        <v>73</v>
      </c>
    </row>
    <row r="379" spans="1:3" ht="15">
      <c r="A379" s="75">
        <v>42396</v>
      </c>
      <c r="B379" s="76" t="s">
        <v>99</v>
      </c>
      <c r="C379" s="77" t="s">
        <v>100</v>
      </c>
    </row>
    <row r="380" spans="1:3" ht="15">
      <c r="A380" s="75">
        <v>42452</v>
      </c>
      <c r="B380" s="76" t="s">
        <v>102</v>
      </c>
      <c r="C380" s="77" t="s">
        <v>73</v>
      </c>
    </row>
    <row r="381" spans="1:3" ht="15">
      <c r="A381" s="75">
        <v>42453</v>
      </c>
      <c r="B381" s="76" t="s">
        <v>125</v>
      </c>
      <c r="C381" s="77" t="s">
        <v>73</v>
      </c>
    </row>
    <row r="382" spans="1:3" ht="15">
      <c r="A382" s="75">
        <v>42454</v>
      </c>
      <c r="B382" s="76" t="s">
        <v>104</v>
      </c>
      <c r="C382" s="77" t="s">
        <v>73</v>
      </c>
    </row>
    <row r="383" spans="1:3" ht="15">
      <c r="A383" s="75">
        <v>42482</v>
      </c>
      <c r="B383" s="76" t="s">
        <v>105</v>
      </c>
      <c r="C383" s="77" t="s">
        <v>73</v>
      </c>
    </row>
    <row r="384" spans="1:3" ht="15">
      <c r="A384" s="75">
        <v>42483</v>
      </c>
      <c r="B384" s="76" t="s">
        <v>106</v>
      </c>
      <c r="C384" s="77" t="s">
        <v>73</v>
      </c>
    </row>
    <row r="385" spans="1:3" ht="15">
      <c r="A385" s="75">
        <v>42484</v>
      </c>
      <c r="B385" s="76" t="s">
        <v>107</v>
      </c>
      <c r="C385" s="77" t="s">
        <v>73</v>
      </c>
    </row>
    <row r="386" spans="1:3" ht="15">
      <c r="A386" s="75">
        <v>42485</v>
      </c>
      <c r="B386" s="76" t="s">
        <v>108</v>
      </c>
      <c r="C386" s="77" t="s">
        <v>73</v>
      </c>
    </row>
    <row r="387" spans="1:3" ht="15">
      <c r="A387" s="75">
        <v>42486</v>
      </c>
      <c r="B387" s="76" t="s">
        <v>109</v>
      </c>
      <c r="C387" s="77" t="s">
        <v>73</v>
      </c>
    </row>
    <row r="388" spans="1:3" ht="15">
      <c r="A388" s="75">
        <v>42487</v>
      </c>
      <c r="B388" s="76" t="s">
        <v>110</v>
      </c>
      <c r="C388" s="77" t="s">
        <v>73</v>
      </c>
    </row>
    <row r="389" spans="1:3" ht="15">
      <c r="A389" s="75">
        <v>42488</v>
      </c>
      <c r="B389" s="76" t="s">
        <v>111</v>
      </c>
      <c r="C389" s="77" t="s">
        <v>73</v>
      </c>
    </row>
    <row r="390" spans="1:3" ht="15">
      <c r="A390" s="75">
        <v>42489</v>
      </c>
      <c r="B390" s="76" t="s">
        <v>112</v>
      </c>
      <c r="C390" s="77" t="s">
        <v>73</v>
      </c>
    </row>
    <row r="391" spans="1:3" ht="15">
      <c r="A391" s="75">
        <v>42490</v>
      </c>
      <c r="B391" s="76" t="s">
        <v>113</v>
      </c>
      <c r="C391" s="77" t="s">
        <v>73</v>
      </c>
    </row>
    <row r="392" spans="1:3" ht="15">
      <c r="A392" s="75">
        <v>42495</v>
      </c>
      <c r="B392" s="76" t="s">
        <v>114</v>
      </c>
      <c r="C392" s="77" t="s">
        <v>89</v>
      </c>
    </row>
    <row r="393" spans="1:3" ht="15">
      <c r="A393" s="75">
        <v>42501</v>
      </c>
      <c r="B393" s="76" t="s">
        <v>115</v>
      </c>
      <c r="C393" s="77" t="s">
        <v>89</v>
      </c>
    </row>
    <row r="394" spans="1:3" ht="15">
      <c r="A394" s="75">
        <v>42502</v>
      </c>
      <c r="B394" s="76" t="s">
        <v>116</v>
      </c>
      <c r="C394" s="77" t="s">
        <v>89</v>
      </c>
    </row>
    <row r="395" spans="1:3" ht="15">
      <c r="A395" s="75">
        <v>42516</v>
      </c>
      <c r="B395" s="76" t="s">
        <v>117</v>
      </c>
      <c r="C395" s="77" t="s">
        <v>73</v>
      </c>
    </row>
    <row r="396" spans="1:3" ht="15">
      <c r="A396" s="75">
        <v>42526</v>
      </c>
      <c r="B396" s="76" t="s">
        <v>118</v>
      </c>
      <c r="C396" s="77" t="s">
        <v>89</v>
      </c>
    </row>
    <row r="397" spans="1:3" ht="15">
      <c r="A397" s="75">
        <v>42532</v>
      </c>
      <c r="B397" s="76" t="s">
        <v>119</v>
      </c>
      <c r="C397" s="77" t="s">
        <v>73</v>
      </c>
    </row>
    <row r="398" spans="1:3" ht="15">
      <c r="A398" s="75">
        <v>42533</v>
      </c>
      <c r="B398" s="76" t="s">
        <v>120</v>
      </c>
      <c r="C398" s="77" t="s">
        <v>73</v>
      </c>
    </row>
    <row r="399" spans="1:3" ht="15">
      <c r="A399" s="75">
        <v>42534</v>
      </c>
      <c r="B399" s="76" t="s">
        <v>121</v>
      </c>
      <c r="C399" s="77" t="s">
        <v>73</v>
      </c>
    </row>
    <row r="400" spans="1:3" ht="15">
      <c r="A400" s="75">
        <v>42572</v>
      </c>
      <c r="B400" s="76" t="s">
        <v>122</v>
      </c>
      <c r="C400" s="77" t="s">
        <v>73</v>
      </c>
    </row>
    <row r="401" spans="1:3" ht="15">
      <c r="A401" s="75">
        <v>42593</v>
      </c>
      <c r="B401" s="76" t="s">
        <v>123</v>
      </c>
      <c r="C401" s="77" t="s">
        <v>73</v>
      </c>
    </row>
    <row r="402" spans="1:3" ht="15">
      <c r="A402" s="75">
        <v>42645</v>
      </c>
      <c r="B402" s="76" t="s">
        <v>124</v>
      </c>
      <c r="C402" s="77" t="s">
        <v>73</v>
      </c>
    </row>
    <row r="403" spans="1:3" ht="15">
      <c r="A403" s="75">
        <v>42646</v>
      </c>
      <c r="B403" s="76" t="s">
        <v>72</v>
      </c>
      <c r="C403" s="77" t="s">
        <v>73</v>
      </c>
    </row>
    <row r="404" spans="1:3" ht="15">
      <c r="A404" s="75">
        <v>42647</v>
      </c>
      <c r="B404" s="76" t="s">
        <v>74</v>
      </c>
      <c r="C404" s="77" t="s">
        <v>73</v>
      </c>
    </row>
    <row r="405" spans="1:3" ht="15">
      <c r="A405" s="75">
        <v>42648</v>
      </c>
      <c r="B405" s="76" t="s">
        <v>75</v>
      </c>
      <c r="C405" s="77" t="s">
        <v>73</v>
      </c>
    </row>
    <row r="406" spans="1:3" ht="15">
      <c r="A406" s="75">
        <v>42654</v>
      </c>
      <c r="B406" s="76" t="s">
        <v>76</v>
      </c>
      <c r="C406" s="77" t="s">
        <v>73</v>
      </c>
    </row>
    <row r="407" spans="1:3" ht="15">
      <c r="A407" s="75">
        <v>42655</v>
      </c>
      <c r="B407" s="76" t="s">
        <v>77</v>
      </c>
      <c r="C407" s="77" t="s">
        <v>73</v>
      </c>
    </row>
    <row r="408" spans="1:3" ht="15">
      <c r="A408" s="75">
        <v>42659</v>
      </c>
      <c r="B408" s="76" t="s">
        <v>78</v>
      </c>
      <c r="C408" s="77" t="s">
        <v>73</v>
      </c>
    </row>
    <row r="409" spans="1:3" ht="15">
      <c r="A409" s="75">
        <v>42660</v>
      </c>
      <c r="B409" s="76" t="s">
        <v>79</v>
      </c>
      <c r="C409" s="77" t="s">
        <v>73</v>
      </c>
    </row>
    <row r="410" spans="1:3" ht="15">
      <c r="A410" s="75">
        <v>42661</v>
      </c>
      <c r="B410" s="76" t="s">
        <v>80</v>
      </c>
      <c r="C410" s="77" t="s">
        <v>73</v>
      </c>
    </row>
    <row r="411" spans="1:3" ht="15">
      <c r="A411" s="75">
        <v>42662</v>
      </c>
      <c r="B411" s="76" t="s">
        <v>81</v>
      </c>
      <c r="C411" s="77" t="s">
        <v>73</v>
      </c>
    </row>
    <row r="412" spans="1:3" ht="15">
      <c r="A412" s="75">
        <v>42663</v>
      </c>
      <c r="B412" s="76" t="s">
        <v>82</v>
      </c>
      <c r="C412" s="77" t="s">
        <v>73</v>
      </c>
    </row>
    <row r="413" spans="1:3" ht="15">
      <c r="A413" s="75">
        <v>42664</v>
      </c>
      <c r="B413" s="76" t="s">
        <v>83</v>
      </c>
      <c r="C413" s="77" t="s">
        <v>73</v>
      </c>
    </row>
    <row r="414" spans="1:3" ht="15">
      <c r="A414" s="75">
        <v>42665</v>
      </c>
      <c r="B414" s="76" t="s">
        <v>84</v>
      </c>
      <c r="C414" s="77" t="s">
        <v>73</v>
      </c>
    </row>
    <row r="415" spans="1:3" ht="15">
      <c r="A415" s="75">
        <v>42666</v>
      </c>
      <c r="B415" s="76" t="s">
        <v>85</v>
      </c>
      <c r="C415" s="77" t="s">
        <v>73</v>
      </c>
    </row>
    <row r="416" spans="1:3" ht="15">
      <c r="A416" s="75">
        <v>42667</v>
      </c>
      <c r="B416" s="76" t="s">
        <v>86</v>
      </c>
      <c r="C416" s="77" t="s">
        <v>73</v>
      </c>
    </row>
    <row r="417" spans="1:3" ht="15">
      <c r="A417" s="75">
        <v>42668</v>
      </c>
      <c r="B417" s="76" t="s">
        <v>87</v>
      </c>
      <c r="C417" s="77" t="s">
        <v>73</v>
      </c>
    </row>
    <row r="418" spans="1:3" ht="15">
      <c r="A418" s="75">
        <v>42687</v>
      </c>
      <c r="B418" s="76" t="s">
        <v>88</v>
      </c>
      <c r="C418" s="77" t="s">
        <v>89</v>
      </c>
    </row>
    <row r="419" spans="1:3" ht="15">
      <c r="A419" s="75">
        <v>42729</v>
      </c>
      <c r="B419" s="76" t="s">
        <v>90</v>
      </c>
      <c r="C419" s="77" t="s">
        <v>73</v>
      </c>
    </row>
    <row r="420" spans="1:3" ht="15">
      <c r="A420" s="75">
        <v>42730</v>
      </c>
      <c r="B420" s="76" t="s">
        <v>91</v>
      </c>
      <c r="C420" s="77" t="s">
        <v>73</v>
      </c>
    </row>
    <row r="421" spans="1:3" ht="15">
      <c r="A421" s="75">
        <v>42731</v>
      </c>
      <c r="B421" s="76" t="s">
        <v>92</v>
      </c>
      <c r="C421" s="77" t="s">
        <v>73</v>
      </c>
    </row>
    <row r="422" spans="1:3" ht="15">
      <c r="A422" s="75">
        <v>42732</v>
      </c>
      <c r="B422" s="76" t="s">
        <v>93</v>
      </c>
      <c r="C422" s="77" t="s">
        <v>73</v>
      </c>
    </row>
    <row r="423" spans="1:3" ht="15">
      <c r="A423" s="75">
        <v>42733</v>
      </c>
      <c r="B423" s="76" t="s">
        <v>94</v>
      </c>
      <c r="C423" s="77" t="s">
        <v>73</v>
      </c>
    </row>
    <row r="424" spans="1:3" ht="15">
      <c r="A424" s="75">
        <v>42734</v>
      </c>
      <c r="B424" s="76" t="s">
        <v>95</v>
      </c>
      <c r="C424" s="77" t="s">
        <v>73</v>
      </c>
    </row>
    <row r="425" spans="1:3" ht="15">
      <c r="A425" s="75">
        <v>42735</v>
      </c>
      <c r="B425" s="76" t="s">
        <v>96</v>
      </c>
      <c r="C425" s="77" t="s">
        <v>73</v>
      </c>
    </row>
    <row r="426" spans="1:3" ht="15">
      <c r="A426" s="75">
        <v>42736</v>
      </c>
      <c r="B426" s="76" t="s">
        <v>97</v>
      </c>
      <c r="C426" s="77" t="s">
        <v>73</v>
      </c>
    </row>
    <row r="427" spans="1:3" ht="15">
      <c r="A427" s="75">
        <v>42743</v>
      </c>
      <c r="B427" s="76" t="s">
        <v>98</v>
      </c>
      <c r="C427" s="77" t="s">
        <v>73</v>
      </c>
    </row>
    <row r="428" spans="1:3" ht="15">
      <c r="A428" s="75">
        <v>42762</v>
      </c>
      <c r="B428" s="76" t="s">
        <v>99</v>
      </c>
      <c r="C428" s="77" t="s">
        <v>100</v>
      </c>
    </row>
    <row r="429" spans="1:3" ht="15">
      <c r="A429" s="75">
        <v>42777</v>
      </c>
      <c r="B429" s="76" t="s">
        <v>101</v>
      </c>
      <c r="C429" s="77" t="s">
        <v>73</v>
      </c>
    </row>
    <row r="430" spans="1:3" ht="15">
      <c r="A430" s="75">
        <v>42803</v>
      </c>
      <c r="B430" s="76" t="s">
        <v>102</v>
      </c>
      <c r="C430" s="77" t="s">
        <v>73</v>
      </c>
    </row>
    <row r="431" spans="1:3" ht="15">
      <c r="A431" s="75">
        <v>42806</v>
      </c>
      <c r="B431" s="76" t="s">
        <v>103</v>
      </c>
      <c r="C431" s="77" t="s">
        <v>73</v>
      </c>
    </row>
    <row r="432" spans="1:3" ht="15">
      <c r="A432" s="75">
        <v>42807</v>
      </c>
      <c r="B432" s="76" t="s">
        <v>104</v>
      </c>
      <c r="C432" s="77" t="s">
        <v>73</v>
      </c>
    </row>
    <row r="433" spans="1:3" ht="15">
      <c r="A433" s="75">
        <v>42835</v>
      </c>
      <c r="B433" s="76" t="s">
        <v>105</v>
      </c>
      <c r="C433" s="77" t="s">
        <v>73</v>
      </c>
    </row>
    <row r="434" spans="1:3" ht="15">
      <c r="A434" s="75">
        <v>42836</v>
      </c>
      <c r="B434" s="76" t="s">
        <v>106</v>
      </c>
      <c r="C434" s="77" t="s">
        <v>73</v>
      </c>
    </row>
    <row r="435" spans="1:3" ht="15">
      <c r="A435" s="75">
        <v>42837</v>
      </c>
      <c r="B435" s="76" t="s">
        <v>107</v>
      </c>
      <c r="C435" s="77" t="s">
        <v>73</v>
      </c>
    </row>
    <row r="436" spans="1:3" ht="15">
      <c r="A436" s="75">
        <v>42838</v>
      </c>
      <c r="B436" s="76" t="s">
        <v>108</v>
      </c>
      <c r="C436" s="77" t="s">
        <v>73</v>
      </c>
    </row>
    <row r="437" spans="1:3" ht="15">
      <c r="A437" s="75">
        <v>42839</v>
      </c>
      <c r="B437" s="76" t="s">
        <v>109</v>
      </c>
      <c r="C437" s="77" t="s">
        <v>73</v>
      </c>
    </row>
    <row r="438" spans="1:3" ht="15">
      <c r="A438" s="75">
        <v>42840</v>
      </c>
      <c r="B438" s="76" t="s">
        <v>110</v>
      </c>
      <c r="C438" s="77" t="s">
        <v>73</v>
      </c>
    </row>
    <row r="439" spans="1:3" ht="15">
      <c r="A439" s="75">
        <v>42841</v>
      </c>
      <c r="B439" s="76" t="s">
        <v>111</v>
      </c>
      <c r="C439" s="77" t="s">
        <v>73</v>
      </c>
    </row>
    <row r="440" spans="1:3" ht="15">
      <c r="A440" s="75">
        <v>42842</v>
      </c>
      <c r="B440" s="76" t="s">
        <v>112</v>
      </c>
      <c r="C440" s="77" t="s">
        <v>73</v>
      </c>
    </row>
    <row r="441" spans="1:3" ht="15">
      <c r="A441" s="75">
        <v>42843</v>
      </c>
      <c r="B441" s="76" t="s">
        <v>113</v>
      </c>
      <c r="C441" s="77" t="s">
        <v>73</v>
      </c>
    </row>
    <row r="442" spans="1:3" ht="15">
      <c r="A442" s="75">
        <v>42848</v>
      </c>
      <c r="B442" s="76" t="s">
        <v>114</v>
      </c>
      <c r="C442" s="77" t="s">
        <v>89</v>
      </c>
    </row>
    <row r="443" spans="1:3" ht="15">
      <c r="A443" s="75">
        <v>42856</v>
      </c>
      <c r="B443" s="76" t="s">
        <v>115</v>
      </c>
      <c r="C443" s="77" t="s">
        <v>89</v>
      </c>
    </row>
    <row r="444" spans="1:3" ht="15">
      <c r="A444" s="75">
        <v>42857</v>
      </c>
      <c r="B444" s="76" t="s">
        <v>116</v>
      </c>
      <c r="C444" s="77" t="s">
        <v>89</v>
      </c>
    </row>
    <row r="445" spans="1:3" ht="15">
      <c r="A445" s="75">
        <v>42869</v>
      </c>
      <c r="B445" s="76" t="s">
        <v>117</v>
      </c>
      <c r="C445" s="77" t="s">
        <v>73</v>
      </c>
    </row>
    <row r="446" spans="1:3" ht="15">
      <c r="A446" s="75">
        <v>42879</v>
      </c>
      <c r="B446" s="76" t="s">
        <v>118</v>
      </c>
      <c r="C446" s="77" t="s">
        <v>89</v>
      </c>
    </row>
    <row r="447" spans="1:3" ht="15">
      <c r="A447" s="75">
        <v>42885</v>
      </c>
      <c r="B447" s="76" t="s">
        <v>119</v>
      </c>
      <c r="C447" s="77" t="s">
        <v>73</v>
      </c>
    </row>
    <row r="448" spans="1:3" ht="15">
      <c r="A448" s="75">
        <v>42886</v>
      </c>
      <c r="B448" s="76" t="s">
        <v>120</v>
      </c>
      <c r="C448" s="77" t="s">
        <v>73</v>
      </c>
    </row>
    <row r="449" spans="1:3" ht="15">
      <c r="A449" s="75">
        <v>42887</v>
      </c>
      <c r="B449" s="76" t="s">
        <v>121</v>
      </c>
      <c r="C449" s="77" t="s">
        <v>73</v>
      </c>
    </row>
    <row r="450" spans="1:3" ht="15">
      <c r="A450" s="75">
        <v>42927</v>
      </c>
      <c r="B450" s="76" t="s">
        <v>122</v>
      </c>
      <c r="C450" s="77" t="s">
        <v>73</v>
      </c>
    </row>
    <row r="451" spans="1:3" ht="15">
      <c r="A451" s="75">
        <v>42948</v>
      </c>
      <c r="B451" s="76" t="s">
        <v>123</v>
      </c>
      <c r="C451" s="77" t="s">
        <v>73</v>
      </c>
    </row>
    <row r="452" spans="1:3" ht="15">
      <c r="A452" s="75">
        <v>42998</v>
      </c>
      <c r="B452" s="76" t="s">
        <v>124</v>
      </c>
      <c r="C452" s="77" t="s">
        <v>73</v>
      </c>
    </row>
    <row r="453" spans="1:3" ht="15">
      <c r="A453" s="75">
        <v>42999</v>
      </c>
      <c r="B453" s="76" t="s">
        <v>72</v>
      </c>
      <c r="C453" s="77" t="s">
        <v>73</v>
      </c>
    </row>
    <row r="454" spans="1:3" ht="15">
      <c r="A454" s="75">
        <v>43000</v>
      </c>
      <c r="B454" s="76" t="s">
        <v>74</v>
      </c>
      <c r="C454" s="77" t="s">
        <v>73</v>
      </c>
    </row>
    <row r="455" spans="1:3" ht="15">
      <c r="A455" s="75">
        <v>43002</v>
      </c>
      <c r="B455" s="76" t="s">
        <v>75</v>
      </c>
      <c r="C455" s="77" t="s">
        <v>73</v>
      </c>
    </row>
    <row r="456" spans="1:3" ht="15">
      <c r="A456" s="75">
        <v>43007</v>
      </c>
      <c r="B456" s="76" t="s">
        <v>76</v>
      </c>
      <c r="C456" s="77" t="s">
        <v>73</v>
      </c>
    </row>
    <row r="457" spans="1:3" ht="15">
      <c r="A457" s="75">
        <v>43008</v>
      </c>
      <c r="B457" s="76" t="s">
        <v>77</v>
      </c>
      <c r="C457" s="77" t="s">
        <v>73</v>
      </c>
    </row>
    <row r="458" spans="1:3" ht="15">
      <c r="A458" s="75">
        <v>43012</v>
      </c>
      <c r="B458" s="76" t="s">
        <v>78</v>
      </c>
      <c r="C458" s="77" t="s">
        <v>73</v>
      </c>
    </row>
    <row r="459" spans="1:3" ht="15">
      <c r="A459" s="75">
        <v>43013</v>
      </c>
      <c r="B459" s="76" t="s">
        <v>79</v>
      </c>
      <c r="C459" s="77" t="s">
        <v>73</v>
      </c>
    </row>
    <row r="460" spans="1:3" ht="15">
      <c r="A460" s="75">
        <v>43014</v>
      </c>
      <c r="B460" s="76" t="s">
        <v>80</v>
      </c>
      <c r="C460" s="77" t="s">
        <v>73</v>
      </c>
    </row>
    <row r="461" spans="1:3" ht="15">
      <c r="A461" s="75">
        <v>43015</v>
      </c>
      <c r="B461" s="76" t="s">
        <v>81</v>
      </c>
      <c r="C461" s="77" t="s">
        <v>73</v>
      </c>
    </row>
    <row r="462" spans="1:3" ht="15">
      <c r="A462" s="75">
        <v>43016</v>
      </c>
      <c r="B462" s="76" t="s">
        <v>82</v>
      </c>
      <c r="C462" s="77" t="s">
        <v>73</v>
      </c>
    </row>
    <row r="463" spans="1:3" ht="15">
      <c r="A463" s="75">
        <v>43017</v>
      </c>
      <c r="B463" s="76" t="s">
        <v>83</v>
      </c>
      <c r="C463" s="77" t="s">
        <v>73</v>
      </c>
    </row>
    <row r="464" spans="1:3" ht="15">
      <c r="A464" s="75">
        <v>43018</v>
      </c>
      <c r="B464" s="76" t="s">
        <v>84</v>
      </c>
      <c r="C464" s="77" t="s">
        <v>73</v>
      </c>
    </row>
    <row r="465" spans="1:3" ht="15">
      <c r="A465" s="75">
        <v>43019</v>
      </c>
      <c r="B465" s="76" t="s">
        <v>85</v>
      </c>
      <c r="C465" s="77" t="s">
        <v>73</v>
      </c>
    </row>
    <row r="466" spans="1:3" ht="15">
      <c r="A466" s="75">
        <v>43020</v>
      </c>
      <c r="B466" s="76" t="s">
        <v>86</v>
      </c>
      <c r="C466" s="77" t="s">
        <v>73</v>
      </c>
    </row>
    <row r="467" spans="1:3" ht="15">
      <c r="A467" s="75">
        <v>43021</v>
      </c>
      <c r="B467" s="76" t="s">
        <v>87</v>
      </c>
      <c r="C467" s="77" t="s">
        <v>73</v>
      </c>
    </row>
    <row r="468" spans="1:3" ht="15">
      <c r="A468" s="75">
        <v>43040</v>
      </c>
      <c r="B468" s="76" t="s">
        <v>88</v>
      </c>
      <c r="C468" s="77" t="s">
        <v>89</v>
      </c>
    </row>
    <row r="469" spans="1:3" ht="15">
      <c r="A469" s="75">
        <v>43082</v>
      </c>
      <c r="B469" s="76" t="s">
        <v>90</v>
      </c>
      <c r="C469" s="77" t="s">
        <v>73</v>
      </c>
    </row>
    <row r="470" spans="1:3" ht="15">
      <c r="A470" s="75">
        <v>43083</v>
      </c>
      <c r="B470" s="76" t="s">
        <v>91</v>
      </c>
      <c r="C470" s="77" t="s">
        <v>73</v>
      </c>
    </row>
    <row r="471" spans="1:3" ht="15">
      <c r="A471" s="75">
        <v>43084</v>
      </c>
      <c r="B471" s="76" t="s">
        <v>92</v>
      </c>
      <c r="C471" s="77" t="s">
        <v>73</v>
      </c>
    </row>
    <row r="472" spans="1:3" ht="15">
      <c r="A472" s="75">
        <v>43085</v>
      </c>
      <c r="B472" s="76" t="s">
        <v>93</v>
      </c>
      <c r="C472" s="77" t="s">
        <v>73</v>
      </c>
    </row>
    <row r="473" spans="1:3" ht="15">
      <c r="A473" s="75">
        <v>43086</v>
      </c>
      <c r="B473" s="76" t="s">
        <v>94</v>
      </c>
      <c r="C473" s="77" t="s">
        <v>73</v>
      </c>
    </row>
    <row r="474" spans="1:3" ht="15">
      <c r="A474" s="75">
        <v>43087</v>
      </c>
      <c r="B474" s="76" t="s">
        <v>95</v>
      </c>
      <c r="C474" s="77" t="s">
        <v>73</v>
      </c>
    </row>
    <row r="475" spans="1:3" ht="15">
      <c r="A475" s="75">
        <v>43088</v>
      </c>
      <c r="B475" s="76" t="s">
        <v>96</v>
      </c>
      <c r="C475" s="77" t="s">
        <v>73</v>
      </c>
    </row>
    <row r="476" spans="1:3" ht="15">
      <c r="A476" s="75">
        <v>43089</v>
      </c>
      <c r="B476" s="76" t="s">
        <v>97</v>
      </c>
      <c r="C476" s="77" t="s">
        <v>73</v>
      </c>
    </row>
    <row r="477" spans="1:3" ht="15">
      <c r="A477" s="75">
        <v>43097</v>
      </c>
      <c r="B477" s="76" t="s">
        <v>98</v>
      </c>
      <c r="C477" s="77" t="s">
        <v>73</v>
      </c>
    </row>
    <row r="478" spans="1:3" ht="15">
      <c r="A478" s="75">
        <v>43127</v>
      </c>
      <c r="B478" s="76" t="s">
        <v>99</v>
      </c>
      <c r="C478" s="77" t="s">
        <v>100</v>
      </c>
    </row>
    <row r="479" spans="1:3" ht="15">
      <c r="A479" s="75">
        <v>43131</v>
      </c>
      <c r="B479" s="76" t="s">
        <v>101</v>
      </c>
      <c r="C479" s="77" t="s">
        <v>73</v>
      </c>
    </row>
    <row r="480" spans="1:3" ht="15">
      <c r="A480" s="75">
        <v>43159</v>
      </c>
      <c r="B480" s="76" t="s">
        <v>102</v>
      </c>
      <c r="C480" s="77" t="s">
        <v>73</v>
      </c>
    </row>
    <row r="481" spans="1:3" ht="15">
      <c r="A481" s="75">
        <v>43160</v>
      </c>
      <c r="B481" s="76" t="s">
        <v>103</v>
      </c>
      <c r="C481" s="77" t="s">
        <v>73</v>
      </c>
    </row>
    <row r="482" spans="1:3" ht="15">
      <c r="A482" s="75">
        <v>43161</v>
      </c>
      <c r="B482" s="76" t="s">
        <v>104</v>
      </c>
      <c r="C482" s="77" t="s">
        <v>73</v>
      </c>
    </row>
    <row r="483" spans="1:3" ht="15">
      <c r="A483" s="75">
        <v>43189</v>
      </c>
      <c r="B483" s="76" t="s">
        <v>105</v>
      </c>
      <c r="C483" s="77" t="s">
        <v>73</v>
      </c>
    </row>
    <row r="484" spans="1:3" ht="15">
      <c r="A484" s="75">
        <v>43190</v>
      </c>
      <c r="B484" s="76" t="s">
        <v>106</v>
      </c>
      <c r="C484" s="77" t="s">
        <v>73</v>
      </c>
    </row>
    <row r="485" spans="1:3" ht="15">
      <c r="A485" s="75">
        <v>43191</v>
      </c>
      <c r="B485" s="76" t="s">
        <v>107</v>
      </c>
      <c r="C485" s="77" t="s">
        <v>73</v>
      </c>
    </row>
    <row r="486" spans="1:3" ht="15">
      <c r="A486" s="75">
        <v>43192</v>
      </c>
      <c r="B486" s="76" t="s">
        <v>108</v>
      </c>
      <c r="C486" s="77" t="s">
        <v>73</v>
      </c>
    </row>
    <row r="487" spans="1:3" ht="15">
      <c r="A487" s="75">
        <v>43193</v>
      </c>
      <c r="B487" s="76" t="s">
        <v>109</v>
      </c>
      <c r="C487" s="77" t="s">
        <v>73</v>
      </c>
    </row>
    <row r="488" spans="1:3" ht="15">
      <c r="A488" s="75">
        <v>43194</v>
      </c>
      <c r="B488" s="76" t="s">
        <v>110</v>
      </c>
      <c r="C488" s="77" t="s">
        <v>73</v>
      </c>
    </row>
    <row r="489" spans="1:3" ht="15">
      <c r="A489" s="75">
        <v>43195</v>
      </c>
      <c r="B489" s="76" t="s">
        <v>111</v>
      </c>
      <c r="C489" s="77" t="s">
        <v>73</v>
      </c>
    </row>
    <row r="490" spans="1:3" ht="15">
      <c r="A490" s="75">
        <v>43196</v>
      </c>
      <c r="B490" s="76" t="s">
        <v>112</v>
      </c>
      <c r="C490" s="77" t="s">
        <v>73</v>
      </c>
    </row>
    <row r="491" spans="1:3" ht="15">
      <c r="A491" s="75">
        <v>43197</v>
      </c>
      <c r="B491" s="76" t="s">
        <v>113</v>
      </c>
      <c r="C491" s="77" t="s">
        <v>73</v>
      </c>
    </row>
    <row r="492" spans="1:3" ht="15">
      <c r="A492" s="75">
        <v>43202</v>
      </c>
      <c r="B492" s="76" t="s">
        <v>114</v>
      </c>
      <c r="C492" s="77" t="s">
        <v>89</v>
      </c>
    </row>
    <row r="493" spans="1:3" ht="15">
      <c r="A493" s="75">
        <v>43208</v>
      </c>
      <c r="B493" s="76" t="s">
        <v>115</v>
      </c>
      <c r="C493" s="77" t="s">
        <v>89</v>
      </c>
    </row>
    <row r="494" spans="1:3" ht="15">
      <c r="A494" s="75">
        <v>43209</v>
      </c>
      <c r="B494" s="76" t="s">
        <v>116</v>
      </c>
      <c r="C494" s="77" t="s">
        <v>89</v>
      </c>
    </row>
    <row r="495" spans="1:3" ht="15">
      <c r="A495" s="75">
        <v>43223</v>
      </c>
      <c r="B495" s="76" t="s">
        <v>117</v>
      </c>
      <c r="C495" s="77" t="s">
        <v>73</v>
      </c>
    </row>
    <row r="496" spans="1:3" ht="15">
      <c r="A496" s="75">
        <v>43233</v>
      </c>
      <c r="B496" s="76" t="s">
        <v>118</v>
      </c>
      <c r="C496" s="77" t="s">
        <v>89</v>
      </c>
    </row>
    <row r="497" spans="1:3" ht="15">
      <c r="A497" s="75">
        <v>43239</v>
      </c>
      <c r="B497" s="76" t="s">
        <v>119</v>
      </c>
      <c r="C497" s="77" t="s">
        <v>73</v>
      </c>
    </row>
    <row r="498" spans="1:3" ht="15">
      <c r="A498" s="75">
        <v>43240</v>
      </c>
      <c r="B498" s="76" t="s">
        <v>120</v>
      </c>
      <c r="C498" s="77" t="s">
        <v>73</v>
      </c>
    </row>
    <row r="499" spans="1:3" ht="15">
      <c r="A499" s="75">
        <v>43241</v>
      </c>
      <c r="B499" s="76" t="s">
        <v>121</v>
      </c>
      <c r="C499" s="77" t="s">
        <v>73</v>
      </c>
    </row>
    <row r="500" spans="1:3" ht="15">
      <c r="A500" s="75">
        <v>43279</v>
      </c>
      <c r="B500" s="76" t="s">
        <v>122</v>
      </c>
      <c r="C500" s="77" t="s">
        <v>73</v>
      </c>
    </row>
    <row r="501" spans="1:3" ht="15">
      <c r="A501" s="75">
        <v>43300</v>
      </c>
      <c r="B501" s="76" t="s">
        <v>123</v>
      </c>
      <c r="C501" s="77" t="s">
        <v>73</v>
      </c>
    </row>
    <row r="502" spans="1:3" ht="15">
      <c r="A502" s="75">
        <v>43352</v>
      </c>
      <c r="B502" s="76" t="s">
        <v>124</v>
      </c>
      <c r="C502" s="77" t="s">
        <v>73</v>
      </c>
    </row>
    <row r="503" spans="1:3" ht="15">
      <c r="A503" s="75">
        <v>43353</v>
      </c>
      <c r="B503" s="76" t="s">
        <v>72</v>
      </c>
      <c r="C503" s="77" t="s">
        <v>73</v>
      </c>
    </row>
    <row r="504" spans="1:3" ht="15">
      <c r="A504" s="75">
        <v>43354</v>
      </c>
      <c r="B504" s="76" t="s">
        <v>74</v>
      </c>
      <c r="C504" s="77" t="s">
        <v>73</v>
      </c>
    </row>
    <row r="505" spans="1:3" ht="15">
      <c r="A505" s="75">
        <v>43355</v>
      </c>
      <c r="B505" s="76" t="s">
        <v>75</v>
      </c>
      <c r="C505" s="77" t="s">
        <v>73</v>
      </c>
    </row>
    <row r="506" spans="1:3" ht="15">
      <c r="A506" s="75">
        <v>43361</v>
      </c>
      <c r="B506" s="76" t="s">
        <v>76</v>
      </c>
      <c r="C506" s="77" t="s">
        <v>73</v>
      </c>
    </row>
    <row r="507" spans="1:3" ht="15">
      <c r="A507" s="75">
        <v>43362</v>
      </c>
      <c r="B507" s="76" t="s">
        <v>77</v>
      </c>
      <c r="C507" s="77" t="s">
        <v>73</v>
      </c>
    </row>
    <row r="508" spans="1:3" ht="15">
      <c r="A508" s="75">
        <v>43366</v>
      </c>
      <c r="B508" s="76" t="s">
        <v>78</v>
      </c>
      <c r="C508" s="77" t="s">
        <v>73</v>
      </c>
    </row>
    <row r="509" spans="1:3" ht="15">
      <c r="A509" s="75">
        <v>43367</v>
      </c>
      <c r="B509" s="76" t="s">
        <v>79</v>
      </c>
      <c r="C509" s="77" t="s">
        <v>73</v>
      </c>
    </row>
    <row r="510" spans="1:3" ht="15">
      <c r="A510" s="75">
        <v>43368</v>
      </c>
      <c r="B510" s="76" t="s">
        <v>80</v>
      </c>
      <c r="C510" s="77" t="s">
        <v>73</v>
      </c>
    </row>
    <row r="511" spans="1:3" ht="15">
      <c r="A511" s="75">
        <v>43369</v>
      </c>
      <c r="B511" s="76" t="s">
        <v>81</v>
      </c>
      <c r="C511" s="77" t="s">
        <v>73</v>
      </c>
    </row>
    <row r="512" spans="1:3" ht="15">
      <c r="A512" s="75">
        <v>43370</v>
      </c>
      <c r="B512" s="76" t="s">
        <v>82</v>
      </c>
      <c r="C512" s="77" t="s">
        <v>73</v>
      </c>
    </row>
    <row r="513" spans="1:3" ht="15">
      <c r="A513" s="75">
        <v>43371</v>
      </c>
      <c r="B513" s="76" t="s">
        <v>83</v>
      </c>
      <c r="C513" s="77" t="s">
        <v>73</v>
      </c>
    </row>
    <row r="514" spans="1:3" ht="15">
      <c r="A514" s="75">
        <v>43372</v>
      </c>
      <c r="B514" s="76" t="s">
        <v>84</v>
      </c>
      <c r="C514" s="77" t="s">
        <v>73</v>
      </c>
    </row>
    <row r="515" spans="1:3" ht="15">
      <c r="A515" s="75">
        <v>43373</v>
      </c>
      <c r="B515" s="76" t="s">
        <v>85</v>
      </c>
      <c r="C515" s="77" t="s">
        <v>73</v>
      </c>
    </row>
    <row r="516" spans="1:3" ht="15">
      <c r="A516" s="75">
        <v>43374</v>
      </c>
      <c r="B516" s="76" t="s">
        <v>86</v>
      </c>
      <c r="C516" s="77" t="s">
        <v>73</v>
      </c>
    </row>
    <row r="517" spans="1:3" ht="15">
      <c r="A517" s="75">
        <v>43375</v>
      </c>
      <c r="B517" s="76" t="s">
        <v>87</v>
      </c>
      <c r="C517" s="77" t="s">
        <v>73</v>
      </c>
    </row>
    <row r="518" spans="1:3" ht="15">
      <c r="A518" s="75">
        <v>43394</v>
      </c>
      <c r="B518" s="76" t="s">
        <v>88</v>
      </c>
      <c r="C518" s="77" t="s">
        <v>89</v>
      </c>
    </row>
    <row r="519" spans="1:3" ht="15">
      <c r="A519" s="75">
        <v>43437</v>
      </c>
      <c r="B519" s="76" t="s">
        <v>90</v>
      </c>
      <c r="C519" s="77" t="s">
        <v>73</v>
      </c>
    </row>
    <row r="520" spans="1:3" ht="15">
      <c r="A520" s="75">
        <v>43438</v>
      </c>
      <c r="B520" s="76" t="s">
        <v>91</v>
      </c>
      <c r="C520" s="77" t="s">
        <v>73</v>
      </c>
    </row>
    <row r="521" spans="1:3" ht="15">
      <c r="A521" s="75">
        <v>43439</v>
      </c>
      <c r="B521" s="76" t="s">
        <v>92</v>
      </c>
      <c r="C521" s="77" t="s">
        <v>73</v>
      </c>
    </row>
    <row r="522" spans="1:3" ht="15">
      <c r="A522" s="75">
        <v>43440</v>
      </c>
      <c r="B522" s="76" t="s">
        <v>93</v>
      </c>
      <c r="C522" s="77" t="s">
        <v>73</v>
      </c>
    </row>
    <row r="523" spans="1:3" ht="15">
      <c r="A523" s="75">
        <v>43441</v>
      </c>
      <c r="B523" s="76" t="s">
        <v>94</v>
      </c>
      <c r="C523" s="77" t="s">
        <v>73</v>
      </c>
    </row>
    <row r="524" spans="1:3" ht="15">
      <c r="A524" s="75">
        <v>43442</v>
      </c>
      <c r="B524" s="76" t="s">
        <v>95</v>
      </c>
      <c r="C524" s="77" t="s">
        <v>73</v>
      </c>
    </row>
    <row r="525" spans="1:3" ht="15">
      <c r="A525" s="75">
        <v>43443</v>
      </c>
      <c r="B525" s="76" t="s">
        <v>96</v>
      </c>
      <c r="C525" s="77" t="s">
        <v>73</v>
      </c>
    </row>
    <row r="526" spans="1:3" ht="15">
      <c r="A526" s="75">
        <v>43444</v>
      </c>
      <c r="B526" s="76" t="s">
        <v>97</v>
      </c>
      <c r="C526" s="77" t="s">
        <v>73</v>
      </c>
    </row>
    <row r="527" spans="1:3" ht="15">
      <c r="A527" s="75">
        <v>43452</v>
      </c>
      <c r="B527" s="76" t="s">
        <v>98</v>
      </c>
      <c r="C527" s="77" t="s">
        <v>73</v>
      </c>
    </row>
    <row r="528" spans="1:3" ht="15">
      <c r="A528" s="75">
        <v>43486</v>
      </c>
      <c r="B528" s="76" t="s">
        <v>101</v>
      </c>
      <c r="C528" s="77" t="s">
        <v>73</v>
      </c>
    </row>
    <row r="529" spans="1:3" ht="15">
      <c r="A529" s="75">
        <v>43492</v>
      </c>
      <c r="B529" s="76" t="s">
        <v>99</v>
      </c>
      <c r="C529" s="77" t="s">
        <v>100</v>
      </c>
    </row>
    <row r="530" spans="1:3" ht="15">
      <c r="A530" s="75">
        <v>43544</v>
      </c>
      <c r="B530" s="76" t="s">
        <v>102</v>
      </c>
      <c r="C530" s="77" t="s">
        <v>73</v>
      </c>
    </row>
    <row r="531" spans="1:3" ht="15">
      <c r="A531" s="75">
        <v>43545</v>
      </c>
      <c r="B531" s="76" t="s">
        <v>125</v>
      </c>
      <c r="C531" s="77" t="s">
        <v>73</v>
      </c>
    </row>
    <row r="532" spans="1:3" ht="15">
      <c r="A532" s="75">
        <v>43546</v>
      </c>
      <c r="B532" s="76" t="s">
        <v>104</v>
      </c>
      <c r="C532" s="77" t="s">
        <v>73</v>
      </c>
    </row>
    <row r="533" spans="1:3" ht="15">
      <c r="A533" s="75">
        <v>43574</v>
      </c>
      <c r="B533" s="76" t="s">
        <v>105</v>
      </c>
      <c r="C533" s="77" t="s">
        <v>73</v>
      </c>
    </row>
    <row r="534" spans="1:3" ht="15">
      <c r="A534" s="75">
        <v>43575</v>
      </c>
      <c r="B534" s="76" t="s">
        <v>106</v>
      </c>
      <c r="C534" s="77" t="s">
        <v>73</v>
      </c>
    </row>
    <row r="535" spans="1:3" ht="15">
      <c r="A535" s="75">
        <v>43576</v>
      </c>
      <c r="B535" s="76" t="s">
        <v>107</v>
      </c>
      <c r="C535" s="77" t="s">
        <v>73</v>
      </c>
    </row>
    <row r="536" spans="1:3" ht="15">
      <c r="A536" s="75">
        <v>43577</v>
      </c>
      <c r="B536" s="76" t="s">
        <v>108</v>
      </c>
      <c r="C536" s="77" t="s">
        <v>73</v>
      </c>
    </row>
    <row r="537" spans="1:3" ht="15">
      <c r="A537" s="75">
        <v>43578</v>
      </c>
      <c r="B537" s="76" t="s">
        <v>109</v>
      </c>
      <c r="C537" s="77" t="s">
        <v>73</v>
      </c>
    </row>
    <row r="538" spans="1:3" ht="15">
      <c r="A538" s="75">
        <v>43579</v>
      </c>
      <c r="B538" s="76" t="s">
        <v>110</v>
      </c>
      <c r="C538" s="77" t="s">
        <v>73</v>
      </c>
    </row>
    <row r="539" spans="1:3" ht="15">
      <c r="A539" s="75">
        <v>43580</v>
      </c>
      <c r="B539" s="76" t="s">
        <v>111</v>
      </c>
      <c r="C539" s="77" t="s">
        <v>73</v>
      </c>
    </row>
    <row r="540" spans="1:3" ht="15">
      <c r="A540" s="75">
        <v>43581</v>
      </c>
      <c r="B540" s="76" t="s">
        <v>112</v>
      </c>
      <c r="C540" s="77" t="s">
        <v>73</v>
      </c>
    </row>
    <row r="541" spans="1:3" ht="15">
      <c r="A541" s="75">
        <v>43582</v>
      </c>
      <c r="B541" s="76" t="s">
        <v>113</v>
      </c>
      <c r="C541" s="77" t="s">
        <v>73</v>
      </c>
    </row>
    <row r="542" spans="1:3" ht="15">
      <c r="A542" s="75">
        <v>43587</v>
      </c>
      <c r="B542" s="76" t="s">
        <v>114</v>
      </c>
      <c r="C542" s="77" t="s">
        <v>89</v>
      </c>
    </row>
    <row r="543" spans="1:3" ht="15">
      <c r="A543" s="75">
        <v>43593</v>
      </c>
      <c r="B543" s="76" t="s">
        <v>115</v>
      </c>
      <c r="C543" s="77" t="s">
        <v>89</v>
      </c>
    </row>
    <row r="544" spans="1:3" ht="15">
      <c r="A544" s="75">
        <v>43594</v>
      </c>
      <c r="B544" s="76" t="s">
        <v>116</v>
      </c>
      <c r="C544" s="77" t="s">
        <v>89</v>
      </c>
    </row>
    <row r="545" spans="1:3" ht="15">
      <c r="A545" s="75">
        <v>43608</v>
      </c>
      <c r="B545" s="76" t="s">
        <v>117</v>
      </c>
      <c r="C545" s="77" t="s">
        <v>73</v>
      </c>
    </row>
    <row r="546" spans="1:3" ht="15">
      <c r="A546" s="75">
        <v>43618</v>
      </c>
      <c r="B546" s="76" t="s">
        <v>118</v>
      </c>
      <c r="C546" s="77" t="s">
        <v>89</v>
      </c>
    </row>
    <row r="547" spans="1:3" ht="15">
      <c r="A547" s="75">
        <v>43624</v>
      </c>
      <c r="B547" s="76" t="s">
        <v>119</v>
      </c>
      <c r="C547" s="77" t="s">
        <v>73</v>
      </c>
    </row>
    <row r="548" spans="1:3" ht="15">
      <c r="A548" s="75">
        <v>43625</v>
      </c>
      <c r="B548" s="76" t="s">
        <v>120</v>
      </c>
      <c r="C548" s="77" t="s">
        <v>73</v>
      </c>
    </row>
    <row r="549" spans="1:3" ht="15">
      <c r="A549" s="75">
        <v>43626</v>
      </c>
      <c r="B549" s="76" t="s">
        <v>121</v>
      </c>
      <c r="C549" s="77" t="s">
        <v>73</v>
      </c>
    </row>
    <row r="550" spans="1:3" ht="15">
      <c r="A550" s="75">
        <v>43664</v>
      </c>
      <c r="B550" s="76" t="s">
        <v>122</v>
      </c>
      <c r="C550" s="77" t="s">
        <v>73</v>
      </c>
    </row>
    <row r="551" spans="1:3" ht="15">
      <c r="A551" s="75">
        <v>43685</v>
      </c>
      <c r="B551" s="76" t="s">
        <v>123</v>
      </c>
      <c r="C551" s="77" t="s">
        <v>73</v>
      </c>
    </row>
    <row r="552" spans="1:3" ht="15">
      <c r="A552" s="75">
        <v>43737</v>
      </c>
      <c r="B552" s="76" t="s">
        <v>124</v>
      </c>
      <c r="C552" s="77" t="s">
        <v>73</v>
      </c>
    </row>
    <row r="553" spans="1:3" ht="15">
      <c r="A553" s="75">
        <v>43738</v>
      </c>
      <c r="B553" s="76" t="s">
        <v>72</v>
      </c>
      <c r="C553" s="77" t="s">
        <v>73</v>
      </c>
    </row>
    <row r="554" spans="1:3" ht="15">
      <c r="A554" s="75">
        <v>43739</v>
      </c>
      <c r="B554" s="76" t="s">
        <v>74</v>
      </c>
      <c r="C554" s="77" t="s">
        <v>73</v>
      </c>
    </row>
    <row r="555" spans="1:3" ht="15">
      <c r="A555" s="75">
        <v>43740</v>
      </c>
      <c r="B555" s="76" t="s">
        <v>75</v>
      </c>
      <c r="C555" s="77" t="s">
        <v>73</v>
      </c>
    </row>
    <row r="556" spans="1:3" ht="15">
      <c r="A556" s="75">
        <v>43746</v>
      </c>
      <c r="B556" s="76" t="s">
        <v>76</v>
      </c>
      <c r="C556" s="77" t="s">
        <v>73</v>
      </c>
    </row>
    <row r="557" spans="1:3" ht="15">
      <c r="A557" s="75">
        <v>43747</v>
      </c>
      <c r="B557" s="76" t="s">
        <v>77</v>
      </c>
      <c r="C557" s="77" t="s">
        <v>73</v>
      </c>
    </row>
    <row r="558" spans="1:3" ht="15">
      <c r="A558" s="75">
        <v>43751</v>
      </c>
      <c r="B558" s="76" t="s">
        <v>78</v>
      </c>
      <c r="C558" s="77" t="s">
        <v>73</v>
      </c>
    </row>
    <row r="559" spans="1:3" ht="15">
      <c r="A559" s="75">
        <v>43752</v>
      </c>
      <c r="B559" s="76" t="s">
        <v>79</v>
      </c>
      <c r="C559" s="77" t="s">
        <v>73</v>
      </c>
    </row>
    <row r="560" spans="1:3" ht="15">
      <c r="A560" s="75">
        <v>43753</v>
      </c>
      <c r="B560" s="76" t="s">
        <v>80</v>
      </c>
      <c r="C560" s="77" t="s">
        <v>73</v>
      </c>
    </row>
    <row r="561" spans="1:3" ht="15">
      <c r="A561" s="75">
        <v>43754</v>
      </c>
      <c r="B561" s="76" t="s">
        <v>81</v>
      </c>
      <c r="C561" s="77" t="s">
        <v>73</v>
      </c>
    </row>
    <row r="562" spans="1:3" ht="15">
      <c r="A562" s="75">
        <v>43755</v>
      </c>
      <c r="B562" s="76" t="s">
        <v>82</v>
      </c>
      <c r="C562" s="77" t="s">
        <v>73</v>
      </c>
    </row>
    <row r="563" spans="1:3" ht="15">
      <c r="A563" s="75">
        <v>43756</v>
      </c>
      <c r="B563" s="76" t="s">
        <v>83</v>
      </c>
      <c r="C563" s="77" t="s">
        <v>73</v>
      </c>
    </row>
    <row r="564" spans="1:3" ht="15">
      <c r="A564" s="75">
        <v>43757</v>
      </c>
      <c r="B564" s="76" t="s">
        <v>84</v>
      </c>
      <c r="C564" s="77" t="s">
        <v>73</v>
      </c>
    </row>
    <row r="565" spans="1:3" ht="15">
      <c r="A565" s="75">
        <v>43758</v>
      </c>
      <c r="B565" s="76" t="s">
        <v>85</v>
      </c>
      <c r="C565" s="77" t="s">
        <v>73</v>
      </c>
    </row>
    <row r="566" spans="1:3" ht="15">
      <c r="A566" s="75">
        <v>43759</v>
      </c>
      <c r="B566" s="76" t="s">
        <v>86</v>
      </c>
      <c r="C566" s="77" t="s">
        <v>73</v>
      </c>
    </row>
    <row r="567" spans="1:3" ht="15">
      <c r="A567" s="75">
        <v>43760</v>
      </c>
      <c r="B567" s="76" t="s">
        <v>87</v>
      </c>
      <c r="C567" s="77" t="s">
        <v>73</v>
      </c>
    </row>
    <row r="568" spans="1:3" ht="15">
      <c r="A568" s="75">
        <v>43779</v>
      </c>
      <c r="B568" s="76" t="s">
        <v>88</v>
      </c>
      <c r="C568" s="77" t="s">
        <v>89</v>
      </c>
    </row>
    <row r="569" spans="1:3" ht="15">
      <c r="A569" s="75">
        <v>43822</v>
      </c>
      <c r="B569" s="76" t="s">
        <v>90</v>
      </c>
      <c r="C569" s="77" t="s">
        <v>73</v>
      </c>
    </row>
    <row r="570" spans="1:3" ht="15">
      <c r="A570" s="75">
        <v>43823</v>
      </c>
      <c r="B570" s="76" t="s">
        <v>91</v>
      </c>
      <c r="C570" s="77" t="s">
        <v>73</v>
      </c>
    </row>
    <row r="571" spans="1:3" ht="15">
      <c r="A571" s="75">
        <v>43824</v>
      </c>
      <c r="B571" s="76" t="s">
        <v>92</v>
      </c>
      <c r="C571" s="77" t="s">
        <v>73</v>
      </c>
    </row>
    <row r="572" spans="1:3" ht="15">
      <c r="A572" s="75">
        <v>43825</v>
      </c>
      <c r="B572" s="76" t="s">
        <v>93</v>
      </c>
      <c r="C572" s="77" t="s">
        <v>73</v>
      </c>
    </row>
    <row r="573" spans="1:3" ht="15">
      <c r="A573" s="75">
        <v>43826</v>
      </c>
      <c r="B573" s="76" t="s">
        <v>94</v>
      </c>
      <c r="C573" s="77" t="s">
        <v>73</v>
      </c>
    </row>
    <row r="574" spans="1:3" ht="15">
      <c r="A574" s="75">
        <v>43827</v>
      </c>
      <c r="B574" s="76" t="s">
        <v>95</v>
      </c>
      <c r="C574" s="77" t="s">
        <v>73</v>
      </c>
    </row>
    <row r="575" spans="1:3" ht="15">
      <c r="A575" s="75">
        <v>43828</v>
      </c>
      <c r="B575" s="76" t="s">
        <v>96</v>
      </c>
      <c r="C575" s="77" t="s">
        <v>73</v>
      </c>
    </row>
    <row r="576" spans="1:3" ht="15">
      <c r="A576" s="75">
        <v>43829</v>
      </c>
      <c r="B576" s="76" t="s">
        <v>97</v>
      </c>
      <c r="C576" s="77" t="s">
        <v>73</v>
      </c>
    </row>
    <row r="577" spans="1:3" ht="15">
      <c r="A577" s="75">
        <v>43837</v>
      </c>
      <c r="B577" s="76" t="s">
        <v>98</v>
      </c>
      <c r="C577" s="77" t="s">
        <v>73</v>
      </c>
    </row>
    <row r="578" spans="1:3" ht="15">
      <c r="A578" s="75">
        <v>43857</v>
      </c>
      <c r="B578" s="76" t="s">
        <v>99</v>
      </c>
      <c r="C578" s="77" t="s">
        <v>100</v>
      </c>
    </row>
    <row r="579" spans="1:3" ht="15">
      <c r="A579" s="75">
        <v>43871</v>
      </c>
      <c r="B579" s="76" t="s">
        <v>101</v>
      </c>
      <c r="C579" s="77" t="s">
        <v>73</v>
      </c>
    </row>
    <row r="580" spans="1:3" ht="15">
      <c r="A580" s="75">
        <v>43899</v>
      </c>
      <c r="B580" s="76" t="s">
        <v>102</v>
      </c>
      <c r="C580" s="77" t="s">
        <v>73</v>
      </c>
    </row>
    <row r="581" spans="1:3" ht="15">
      <c r="A581" s="75">
        <v>43900</v>
      </c>
      <c r="B581" s="76" t="s">
        <v>103</v>
      </c>
      <c r="C581" s="77" t="s">
        <v>73</v>
      </c>
    </row>
    <row r="582" spans="1:3" ht="15">
      <c r="A582" s="75">
        <v>43901</v>
      </c>
      <c r="B582" s="76" t="s">
        <v>104</v>
      </c>
      <c r="C582" s="77" t="s">
        <v>73</v>
      </c>
    </row>
    <row r="583" spans="1:3" ht="15">
      <c r="A583" s="75">
        <v>43929</v>
      </c>
      <c r="B583" s="76" t="s">
        <v>105</v>
      </c>
      <c r="C583" s="77" t="s">
        <v>73</v>
      </c>
    </row>
    <row r="584" spans="1:3" ht="15">
      <c r="A584" s="75">
        <v>43930</v>
      </c>
      <c r="B584" s="76" t="s">
        <v>106</v>
      </c>
      <c r="C584" s="77" t="s">
        <v>73</v>
      </c>
    </row>
    <row r="585" spans="1:3" ht="15">
      <c r="A585" s="75">
        <v>43931</v>
      </c>
      <c r="B585" s="76" t="s">
        <v>107</v>
      </c>
      <c r="C585" s="77" t="s">
        <v>73</v>
      </c>
    </row>
    <row r="586" spans="1:3" ht="15">
      <c r="A586" s="75">
        <v>43932</v>
      </c>
      <c r="B586" s="76" t="s">
        <v>108</v>
      </c>
      <c r="C586" s="77" t="s">
        <v>73</v>
      </c>
    </row>
    <row r="587" spans="1:3" ht="15">
      <c r="A587" s="75">
        <v>43933</v>
      </c>
      <c r="B587" s="76" t="s">
        <v>109</v>
      </c>
      <c r="C587" s="77" t="s">
        <v>73</v>
      </c>
    </row>
    <row r="588" spans="1:3" ht="15">
      <c r="A588" s="75">
        <v>43934</v>
      </c>
      <c r="B588" s="76" t="s">
        <v>110</v>
      </c>
      <c r="C588" s="77" t="s">
        <v>73</v>
      </c>
    </row>
    <row r="589" spans="1:3" ht="15">
      <c r="A589" s="75">
        <v>43935</v>
      </c>
      <c r="B589" s="76" t="s">
        <v>111</v>
      </c>
      <c r="C589" s="77" t="s">
        <v>73</v>
      </c>
    </row>
    <row r="590" spans="1:3" ht="15">
      <c r="A590" s="75">
        <v>43936</v>
      </c>
      <c r="B590" s="76" t="s">
        <v>112</v>
      </c>
      <c r="C590" s="77" t="s">
        <v>73</v>
      </c>
    </row>
    <row r="591" spans="1:3" ht="15">
      <c r="A591" s="75">
        <v>43937</v>
      </c>
      <c r="B591" s="76" t="s">
        <v>113</v>
      </c>
      <c r="C591" s="77" t="s">
        <v>73</v>
      </c>
    </row>
    <row r="592" spans="1:3" ht="15">
      <c r="A592" s="75">
        <v>43942</v>
      </c>
      <c r="B592" s="76" t="s">
        <v>114</v>
      </c>
      <c r="C592" s="77" t="s">
        <v>89</v>
      </c>
    </row>
    <row r="593" spans="1:3" ht="15">
      <c r="A593" s="75">
        <v>43949</v>
      </c>
      <c r="B593" s="76" t="s">
        <v>115</v>
      </c>
      <c r="C593" s="77" t="s">
        <v>89</v>
      </c>
    </row>
    <row r="594" spans="1:3" ht="15">
      <c r="A594" s="75">
        <v>43950</v>
      </c>
      <c r="B594" s="76" t="s">
        <v>116</v>
      </c>
      <c r="C594" s="77" t="s">
        <v>89</v>
      </c>
    </row>
    <row r="595" spans="1:3" ht="15">
      <c r="A595" s="75">
        <v>43963</v>
      </c>
      <c r="B595" s="76" t="s">
        <v>117</v>
      </c>
      <c r="C595" s="77" t="s">
        <v>73</v>
      </c>
    </row>
    <row r="596" spans="1:3" ht="15">
      <c r="A596" s="75">
        <v>43973</v>
      </c>
      <c r="B596" s="76" t="s">
        <v>118</v>
      </c>
      <c r="C596" s="77" t="s">
        <v>89</v>
      </c>
    </row>
    <row r="597" spans="1:3" ht="15">
      <c r="A597" s="75">
        <v>43979</v>
      </c>
      <c r="B597" s="76" t="s">
        <v>119</v>
      </c>
      <c r="C597" s="77" t="s">
        <v>73</v>
      </c>
    </row>
    <row r="598" spans="1:3" ht="15">
      <c r="A598" s="75">
        <v>43980</v>
      </c>
      <c r="B598" s="76" t="s">
        <v>120</v>
      </c>
      <c r="C598" s="77" t="s">
        <v>73</v>
      </c>
    </row>
    <row r="599" spans="1:3" ht="15">
      <c r="A599" s="75">
        <v>43981</v>
      </c>
      <c r="B599" s="76" t="s">
        <v>121</v>
      </c>
      <c r="C599" s="77" t="s">
        <v>73</v>
      </c>
    </row>
    <row r="600" spans="1:3" ht="15">
      <c r="A600" s="75">
        <v>44021</v>
      </c>
      <c r="B600" s="76" t="s">
        <v>122</v>
      </c>
      <c r="C600" s="77" t="s">
        <v>73</v>
      </c>
    </row>
    <row r="601" spans="1:3" ht="15">
      <c r="A601" s="75">
        <v>44042</v>
      </c>
      <c r="B601" s="76" t="s">
        <v>123</v>
      </c>
      <c r="C601" s="77" t="s">
        <v>73</v>
      </c>
    </row>
    <row r="602" spans="1:3" ht="15">
      <c r="A602" s="75">
        <v>44092</v>
      </c>
      <c r="B602" s="76" t="s">
        <v>124</v>
      </c>
      <c r="C602" s="77" t="s">
        <v>73</v>
      </c>
    </row>
    <row r="603" spans="1:3" ht="15">
      <c r="A603" s="75">
        <v>44093</v>
      </c>
      <c r="B603" s="76" t="s">
        <v>72</v>
      </c>
      <c r="C603" s="77" t="s">
        <v>73</v>
      </c>
    </row>
    <row r="604" spans="1:3" ht="15">
      <c r="A604" s="75">
        <v>44094</v>
      </c>
      <c r="B604" s="76" t="s">
        <v>74</v>
      </c>
      <c r="C604" s="77" t="s">
        <v>73</v>
      </c>
    </row>
    <row r="605" spans="1:3" ht="15">
      <c r="A605" s="75">
        <v>44101</v>
      </c>
      <c r="B605" s="76" t="s">
        <v>76</v>
      </c>
      <c r="C605" s="77" t="s">
        <v>73</v>
      </c>
    </row>
    <row r="606" spans="1:3" ht="15">
      <c r="A606" s="75">
        <v>44102</v>
      </c>
      <c r="B606" s="76" t="s">
        <v>77</v>
      </c>
      <c r="C606" s="77" t="s">
        <v>73</v>
      </c>
    </row>
    <row r="607" spans="1:3" ht="15">
      <c r="A607" s="75">
        <v>44106</v>
      </c>
      <c r="B607" s="76" t="s">
        <v>78</v>
      </c>
      <c r="C607" s="77" t="s">
        <v>73</v>
      </c>
    </row>
    <row r="608" spans="1:3" ht="15">
      <c r="A608" s="75">
        <v>44107</v>
      </c>
      <c r="B608" s="76" t="s">
        <v>79</v>
      </c>
      <c r="C608" s="77" t="s">
        <v>73</v>
      </c>
    </row>
    <row r="609" spans="1:3" ht="15">
      <c r="A609" s="75">
        <v>44108</v>
      </c>
      <c r="B609" s="76" t="s">
        <v>80</v>
      </c>
      <c r="C609" s="77" t="s">
        <v>73</v>
      </c>
    </row>
    <row r="610" spans="1:3" ht="15">
      <c r="A610" s="75">
        <v>44109</v>
      </c>
      <c r="B610" s="76" t="s">
        <v>81</v>
      </c>
      <c r="C610" s="77" t="s">
        <v>73</v>
      </c>
    </row>
    <row r="611" spans="1:3" ht="15">
      <c r="A611" s="75">
        <v>44110</v>
      </c>
      <c r="B611" s="76" t="s">
        <v>82</v>
      </c>
      <c r="C611" s="77" t="s">
        <v>73</v>
      </c>
    </row>
    <row r="612" spans="1:3" ht="15">
      <c r="A612" s="75">
        <v>44111</v>
      </c>
      <c r="B612" s="76" t="s">
        <v>83</v>
      </c>
      <c r="C612" s="77" t="s">
        <v>73</v>
      </c>
    </row>
    <row r="613" spans="1:3" ht="15">
      <c r="A613" s="75">
        <v>44112</v>
      </c>
      <c r="B613" s="76" t="s">
        <v>84</v>
      </c>
      <c r="C613" s="77" t="s">
        <v>73</v>
      </c>
    </row>
    <row r="614" spans="1:3" ht="15">
      <c r="A614" s="75">
        <v>44113</v>
      </c>
      <c r="B614" s="76" t="s">
        <v>85</v>
      </c>
      <c r="C614" s="77" t="s">
        <v>73</v>
      </c>
    </row>
    <row r="615" spans="1:3" ht="15">
      <c r="A615" s="75">
        <v>44114</v>
      </c>
      <c r="B615" s="76" t="s">
        <v>86</v>
      </c>
      <c r="C615" s="77" t="s">
        <v>73</v>
      </c>
    </row>
    <row r="616" spans="1:3" ht="15">
      <c r="A616" s="75">
        <v>44115</v>
      </c>
      <c r="B616" s="76" t="s">
        <v>87</v>
      </c>
      <c r="C616" s="77" t="s">
        <v>73</v>
      </c>
    </row>
    <row r="617" spans="1:3" ht="15">
      <c r="A617" s="75">
        <v>44176</v>
      </c>
      <c r="B617" s="76" t="s">
        <v>90</v>
      </c>
      <c r="C617" s="77" t="s">
        <v>73</v>
      </c>
    </row>
    <row r="618" spans="1:3" ht="15">
      <c r="A618" s="75">
        <v>44177</v>
      </c>
      <c r="B618" s="76" t="s">
        <v>91</v>
      </c>
      <c r="C618" s="77" t="s">
        <v>73</v>
      </c>
    </row>
    <row r="619" spans="1:3" ht="15">
      <c r="A619" s="75">
        <v>44178</v>
      </c>
      <c r="B619" s="76" t="s">
        <v>92</v>
      </c>
      <c r="C619" s="77" t="s">
        <v>73</v>
      </c>
    </row>
    <row r="620" spans="1:3" ht="15">
      <c r="A620" s="75">
        <v>44179</v>
      </c>
      <c r="B620" s="76" t="s">
        <v>93</v>
      </c>
      <c r="C620" s="77" t="s">
        <v>73</v>
      </c>
    </row>
    <row r="621" spans="1:3" ht="15">
      <c r="A621" s="75">
        <v>44180</v>
      </c>
      <c r="B621" s="76" t="s">
        <v>94</v>
      </c>
      <c r="C621" s="77" t="s">
        <v>73</v>
      </c>
    </row>
    <row r="622" spans="1:3" ht="15">
      <c r="A622" s="75">
        <v>44181</v>
      </c>
      <c r="B622" s="76" t="s">
        <v>95</v>
      </c>
      <c r="C622" s="77" t="s">
        <v>73</v>
      </c>
    </row>
    <row r="623" spans="1:3" ht="15">
      <c r="A623" s="75">
        <v>44182</v>
      </c>
      <c r="B623" s="76" t="s">
        <v>96</v>
      </c>
      <c r="C623" s="77" t="s">
        <v>73</v>
      </c>
    </row>
    <row r="624" spans="1:3" ht="15">
      <c r="A624" s="75">
        <v>44183</v>
      </c>
      <c r="B624" s="76" t="s">
        <v>97</v>
      </c>
      <c r="C624" s="77" t="s">
        <v>73</v>
      </c>
    </row>
    <row r="625" spans="1:3" ht="15">
      <c r="A625" s="75">
        <v>44223</v>
      </c>
      <c r="B625" s="76" t="s">
        <v>99</v>
      </c>
      <c r="C625" s="77" t="s">
        <v>100</v>
      </c>
    </row>
    <row r="626" spans="1:3" ht="15">
      <c r="A626" s="75">
        <v>44224</v>
      </c>
      <c r="B626" s="76" t="s">
        <v>101</v>
      </c>
      <c r="C626" s="77" t="s">
        <v>73</v>
      </c>
    </row>
    <row r="627" spans="1:3" ht="15">
      <c r="A627" s="75">
        <v>44446</v>
      </c>
      <c r="B627" s="76" t="s">
        <v>72</v>
      </c>
      <c r="C627" s="77" t="s">
        <v>73</v>
      </c>
    </row>
    <row r="628" spans="1:3" ht="15">
      <c r="A628" s="75">
        <v>44447</v>
      </c>
      <c r="B628" s="76" t="s">
        <v>74</v>
      </c>
      <c r="C628" s="77" t="s">
        <v>73</v>
      </c>
    </row>
    <row r="629" spans="1:3" ht="15">
      <c r="A629" s="75">
        <v>44454</v>
      </c>
      <c r="B629" s="76" t="s">
        <v>76</v>
      </c>
      <c r="C629" s="77" t="s">
        <v>73</v>
      </c>
    </row>
    <row r="630" spans="1:3" ht="15">
      <c r="A630" s="75">
        <v>44455</v>
      </c>
      <c r="B630" s="76" t="s">
        <v>77</v>
      </c>
      <c r="C630" s="77" t="s">
        <v>73</v>
      </c>
    </row>
    <row r="631" spans="1:3" ht="15">
      <c r="A631" s="75">
        <v>44459</v>
      </c>
      <c r="B631" s="76" t="s">
        <v>78</v>
      </c>
      <c r="C631" s="77" t="s">
        <v>73</v>
      </c>
    </row>
    <row r="632" spans="1:3" ht="15">
      <c r="A632" s="75">
        <v>44460</v>
      </c>
      <c r="B632" s="76" t="s">
        <v>79</v>
      </c>
      <c r="C632" s="77" t="s">
        <v>73</v>
      </c>
    </row>
    <row r="633" spans="1:3" ht="15">
      <c r="A633" s="75">
        <v>44461</v>
      </c>
      <c r="B633" s="76" t="s">
        <v>80</v>
      </c>
      <c r="C633" s="77" t="s">
        <v>73</v>
      </c>
    </row>
    <row r="634" spans="1:3" ht="15">
      <c r="A634" s="75">
        <v>44462</v>
      </c>
      <c r="B634" s="76" t="s">
        <v>81</v>
      </c>
      <c r="C634" s="77" t="s">
        <v>73</v>
      </c>
    </row>
    <row r="635" spans="1:3" ht="15">
      <c r="A635" s="75">
        <v>44463</v>
      </c>
      <c r="B635" s="76" t="s">
        <v>82</v>
      </c>
      <c r="C635" s="77" t="s">
        <v>73</v>
      </c>
    </row>
    <row r="636" spans="1:3" ht="15">
      <c r="A636" s="75">
        <v>44464</v>
      </c>
      <c r="B636" s="76" t="s">
        <v>83</v>
      </c>
      <c r="C636" s="77" t="s">
        <v>73</v>
      </c>
    </row>
    <row r="637" spans="1:3" ht="15">
      <c r="A637" s="75">
        <v>44465</v>
      </c>
      <c r="B637" s="76" t="s">
        <v>84</v>
      </c>
      <c r="C637" s="77" t="s">
        <v>73</v>
      </c>
    </row>
    <row r="638" spans="1:3" ht="15">
      <c r="A638" s="75">
        <v>44466</v>
      </c>
      <c r="B638" s="76" t="s">
        <v>85</v>
      </c>
      <c r="C638" s="77" t="s">
        <v>73</v>
      </c>
    </row>
    <row r="639" spans="1:3" ht="15">
      <c r="A639" s="75">
        <v>44467</v>
      </c>
      <c r="B639" s="76" t="s">
        <v>86</v>
      </c>
      <c r="C639" s="77" t="s">
        <v>73</v>
      </c>
    </row>
    <row r="640" spans="1:3" ht="15">
      <c r="A640" s="75">
        <v>44468</v>
      </c>
      <c r="B640" s="76" t="s">
        <v>87</v>
      </c>
      <c r="C640" s="77" t="s">
        <v>73</v>
      </c>
    </row>
    <row r="641" spans="1:3" ht="15">
      <c r="A641" s="75">
        <v>44529</v>
      </c>
      <c r="B641" s="76" t="s">
        <v>90</v>
      </c>
      <c r="C641" s="77" t="s">
        <v>73</v>
      </c>
    </row>
    <row r="642" spans="1:3" ht="15">
      <c r="A642" s="75">
        <v>44530</v>
      </c>
      <c r="B642" s="76" t="s">
        <v>91</v>
      </c>
      <c r="C642" s="77" t="s">
        <v>73</v>
      </c>
    </row>
    <row r="643" spans="1:3" ht="15">
      <c r="A643" s="75">
        <v>44531</v>
      </c>
      <c r="B643" s="76" t="s">
        <v>92</v>
      </c>
      <c r="C643" s="77" t="s">
        <v>73</v>
      </c>
    </row>
    <row r="644" spans="1:3" ht="15">
      <c r="A644" s="75">
        <v>44532</v>
      </c>
      <c r="B644" s="76" t="s">
        <v>93</v>
      </c>
      <c r="C644" s="77" t="s">
        <v>73</v>
      </c>
    </row>
    <row r="645" spans="1:3" ht="15">
      <c r="A645" s="75">
        <v>44533</v>
      </c>
      <c r="B645" s="76" t="s">
        <v>94</v>
      </c>
      <c r="C645" s="77" t="s">
        <v>73</v>
      </c>
    </row>
    <row r="646" spans="1:3" ht="15">
      <c r="A646" s="75">
        <v>44534</v>
      </c>
      <c r="B646" s="76" t="s">
        <v>95</v>
      </c>
      <c r="C646" s="77" t="s">
        <v>73</v>
      </c>
    </row>
    <row r="647" spans="1:3" ht="15">
      <c r="A647" s="75">
        <v>44535</v>
      </c>
      <c r="B647" s="76" t="s">
        <v>96</v>
      </c>
      <c r="C647" s="77" t="s">
        <v>73</v>
      </c>
    </row>
    <row r="648" spans="1:3" ht="15">
      <c r="A648" s="75">
        <v>44536</v>
      </c>
      <c r="B648" s="76" t="s">
        <v>97</v>
      </c>
      <c r="C648" s="77" t="s">
        <v>73</v>
      </c>
    </row>
    <row r="649" spans="1:3" ht="15">
      <c r="A649" s="75">
        <v>44578</v>
      </c>
      <c r="B649" s="76" t="s">
        <v>101</v>
      </c>
      <c r="C649" s="77" t="s">
        <v>73</v>
      </c>
    </row>
    <row r="650" spans="1:3" ht="15">
      <c r="A650" s="75">
        <v>44588</v>
      </c>
      <c r="B650" s="76" t="s">
        <v>99</v>
      </c>
      <c r="C650" s="77" t="s">
        <v>100</v>
      </c>
    </row>
    <row r="651" spans="1:3" ht="15">
      <c r="A651" s="75">
        <v>44830</v>
      </c>
      <c r="B651" s="76" t="s">
        <v>72</v>
      </c>
      <c r="C651" s="77" t="s">
        <v>73</v>
      </c>
    </row>
    <row r="652" spans="1:3" ht="15">
      <c r="A652" s="75">
        <v>44831</v>
      </c>
      <c r="B652" s="76" t="s">
        <v>74</v>
      </c>
      <c r="C652" s="77" t="s">
        <v>73</v>
      </c>
    </row>
    <row r="653" spans="1:3" ht="15">
      <c r="A653" s="75">
        <v>44838</v>
      </c>
      <c r="B653" s="76" t="s">
        <v>76</v>
      </c>
      <c r="C653" s="77" t="s">
        <v>73</v>
      </c>
    </row>
    <row r="654" spans="1:3" ht="15">
      <c r="A654" s="75">
        <v>44839</v>
      </c>
      <c r="B654" s="76" t="s">
        <v>77</v>
      </c>
      <c r="C654" s="77" t="s">
        <v>73</v>
      </c>
    </row>
    <row r="655" spans="1:3" ht="15">
      <c r="A655" s="75">
        <v>44843</v>
      </c>
      <c r="B655" s="76" t="s">
        <v>78</v>
      </c>
      <c r="C655" s="77" t="s">
        <v>73</v>
      </c>
    </row>
    <row r="656" spans="1:3" ht="15">
      <c r="A656" s="75">
        <v>44844</v>
      </c>
      <c r="B656" s="76" t="s">
        <v>79</v>
      </c>
      <c r="C656" s="77" t="s">
        <v>73</v>
      </c>
    </row>
    <row r="657" spans="1:3" ht="15">
      <c r="A657" s="75">
        <v>44845</v>
      </c>
      <c r="B657" s="76" t="s">
        <v>80</v>
      </c>
      <c r="C657" s="77" t="s">
        <v>73</v>
      </c>
    </row>
    <row r="658" spans="1:3" ht="15">
      <c r="A658" s="75">
        <v>44846</v>
      </c>
      <c r="B658" s="76" t="s">
        <v>81</v>
      </c>
      <c r="C658" s="77" t="s">
        <v>73</v>
      </c>
    </row>
    <row r="659" spans="1:3" ht="15">
      <c r="A659" s="75">
        <v>44847</v>
      </c>
      <c r="B659" s="76" t="s">
        <v>82</v>
      </c>
      <c r="C659" s="77" t="s">
        <v>73</v>
      </c>
    </row>
    <row r="660" spans="1:3" ht="15">
      <c r="A660" s="75">
        <v>44848</v>
      </c>
      <c r="B660" s="76" t="s">
        <v>83</v>
      </c>
      <c r="C660" s="77" t="s">
        <v>73</v>
      </c>
    </row>
    <row r="661" spans="1:3" ht="15">
      <c r="A661" s="75">
        <v>44849</v>
      </c>
      <c r="B661" s="76" t="s">
        <v>84</v>
      </c>
      <c r="C661" s="77" t="s">
        <v>73</v>
      </c>
    </row>
    <row r="662" spans="1:3" ht="15">
      <c r="A662" s="75">
        <v>44850</v>
      </c>
      <c r="B662" s="76" t="s">
        <v>85</v>
      </c>
      <c r="C662" s="77" t="s">
        <v>73</v>
      </c>
    </row>
    <row r="663" spans="1:3" ht="15">
      <c r="A663" s="75">
        <v>44851</v>
      </c>
      <c r="B663" s="76" t="s">
        <v>86</v>
      </c>
      <c r="C663" s="77" t="s">
        <v>73</v>
      </c>
    </row>
    <row r="664" spans="1:3" ht="15">
      <c r="A664" s="75">
        <v>44852</v>
      </c>
      <c r="B664" s="76" t="s">
        <v>87</v>
      </c>
      <c r="C664" s="77" t="s">
        <v>73</v>
      </c>
    </row>
    <row r="665" spans="1:3" ht="15">
      <c r="A665" s="75">
        <v>44914</v>
      </c>
      <c r="B665" s="76" t="s">
        <v>90</v>
      </c>
      <c r="C665" s="77" t="s">
        <v>73</v>
      </c>
    </row>
    <row r="666" spans="1:3" ht="15">
      <c r="A666" s="75">
        <v>44915</v>
      </c>
      <c r="B666" s="76" t="s">
        <v>91</v>
      </c>
      <c r="C666" s="77" t="s">
        <v>73</v>
      </c>
    </row>
    <row r="667" spans="1:3" ht="15">
      <c r="A667" s="75">
        <v>44916</v>
      </c>
      <c r="B667" s="76" t="s">
        <v>92</v>
      </c>
      <c r="C667" s="77" t="s">
        <v>73</v>
      </c>
    </row>
    <row r="668" spans="1:3" ht="15">
      <c r="A668" s="75">
        <v>44917</v>
      </c>
      <c r="B668" s="76" t="s">
        <v>93</v>
      </c>
      <c r="C668" s="77" t="s">
        <v>73</v>
      </c>
    </row>
    <row r="669" spans="1:3" ht="15">
      <c r="A669" s="75">
        <v>44918</v>
      </c>
      <c r="B669" s="76" t="s">
        <v>94</v>
      </c>
      <c r="C669" s="77" t="s">
        <v>73</v>
      </c>
    </row>
    <row r="670" spans="1:3" ht="15">
      <c r="A670" s="75">
        <v>44919</v>
      </c>
      <c r="B670" s="76" t="s">
        <v>95</v>
      </c>
      <c r="C670" s="77" t="s">
        <v>73</v>
      </c>
    </row>
    <row r="671" spans="1:3" ht="15">
      <c r="A671" s="75">
        <v>44920</v>
      </c>
      <c r="B671" s="76" t="s">
        <v>96</v>
      </c>
      <c r="C671" s="77" t="s">
        <v>73</v>
      </c>
    </row>
    <row r="672" spans="1:3" ht="15">
      <c r="A672" s="75">
        <v>44921</v>
      </c>
      <c r="B672" s="76" t="s">
        <v>97</v>
      </c>
      <c r="C672" s="77" t="s">
        <v>73</v>
      </c>
    </row>
    <row r="673" spans="1:3" ht="15">
      <c r="A673" s="75">
        <v>44953</v>
      </c>
      <c r="B673" s="76" t="s">
        <v>99</v>
      </c>
      <c r="C673" s="77" t="s">
        <v>100</v>
      </c>
    </row>
    <row r="674" spans="1:3" ht="15">
      <c r="A674" s="75">
        <v>44963</v>
      </c>
      <c r="B674" s="76" t="s">
        <v>101</v>
      </c>
      <c r="C674" s="77" t="s">
        <v>73</v>
      </c>
    </row>
    <row r="675" spans="1:3" ht="15">
      <c r="A675" s="75">
        <v>45185</v>
      </c>
      <c r="B675" s="76" t="s">
        <v>72</v>
      </c>
      <c r="C675" s="77" t="s">
        <v>73</v>
      </c>
    </row>
    <row r="676" spans="1:3" ht="15">
      <c r="A676" s="75">
        <v>45186</v>
      </c>
      <c r="B676" s="76" t="s">
        <v>74</v>
      </c>
      <c r="C676" s="77" t="s">
        <v>73</v>
      </c>
    </row>
    <row r="677" spans="1:3" ht="15">
      <c r="A677" s="75">
        <v>45193</v>
      </c>
      <c r="B677" s="76" t="s">
        <v>76</v>
      </c>
      <c r="C677" s="77" t="s">
        <v>73</v>
      </c>
    </row>
    <row r="678" spans="1:3" ht="15">
      <c r="A678" s="75">
        <v>45194</v>
      </c>
      <c r="B678" s="76" t="s">
        <v>77</v>
      </c>
      <c r="C678" s="77" t="s">
        <v>73</v>
      </c>
    </row>
    <row r="679" spans="1:3" ht="15">
      <c r="A679" s="75">
        <v>45198</v>
      </c>
      <c r="B679" s="76" t="s">
        <v>78</v>
      </c>
      <c r="C679" s="77" t="s">
        <v>73</v>
      </c>
    </row>
    <row r="680" spans="1:3" ht="15">
      <c r="A680" s="75">
        <v>45199</v>
      </c>
      <c r="B680" s="76" t="s">
        <v>79</v>
      </c>
      <c r="C680" s="77" t="s">
        <v>73</v>
      </c>
    </row>
    <row r="681" spans="1:3" ht="15">
      <c r="A681" s="75">
        <v>45200</v>
      </c>
      <c r="B681" s="76" t="s">
        <v>80</v>
      </c>
      <c r="C681" s="77" t="s">
        <v>73</v>
      </c>
    </row>
    <row r="682" spans="1:3" ht="15">
      <c r="A682" s="75">
        <v>45201</v>
      </c>
      <c r="B682" s="76" t="s">
        <v>81</v>
      </c>
      <c r="C682" s="77" t="s">
        <v>73</v>
      </c>
    </row>
    <row r="683" spans="1:3" ht="15">
      <c r="A683" s="75">
        <v>45202</v>
      </c>
      <c r="B683" s="76" t="s">
        <v>82</v>
      </c>
      <c r="C683" s="77" t="s">
        <v>73</v>
      </c>
    </row>
    <row r="684" spans="1:3" ht="15">
      <c r="A684" s="75">
        <v>45203</v>
      </c>
      <c r="B684" s="76" t="s">
        <v>83</v>
      </c>
      <c r="C684" s="77" t="s">
        <v>73</v>
      </c>
    </row>
    <row r="685" spans="1:3" ht="15">
      <c r="A685" s="75">
        <v>45204</v>
      </c>
      <c r="B685" s="76" t="s">
        <v>84</v>
      </c>
      <c r="C685" s="77" t="s">
        <v>73</v>
      </c>
    </row>
    <row r="686" spans="1:3" ht="15">
      <c r="A686" s="75">
        <v>45205</v>
      </c>
      <c r="B686" s="76" t="s">
        <v>85</v>
      </c>
      <c r="C686" s="77" t="s">
        <v>73</v>
      </c>
    </row>
    <row r="687" spans="1:3" ht="15">
      <c r="A687" s="75">
        <v>45206</v>
      </c>
      <c r="B687" s="76" t="s">
        <v>86</v>
      </c>
      <c r="C687" s="77" t="s">
        <v>73</v>
      </c>
    </row>
    <row r="688" spans="1:3" ht="15">
      <c r="A688" s="75">
        <v>45207</v>
      </c>
      <c r="B688" s="76" t="s">
        <v>87</v>
      </c>
      <c r="C688" s="77" t="s">
        <v>73</v>
      </c>
    </row>
    <row r="689" spans="1:3" ht="15">
      <c r="A689" s="75">
        <v>45268</v>
      </c>
      <c r="B689" s="76" t="s">
        <v>90</v>
      </c>
      <c r="C689" s="77" t="s">
        <v>73</v>
      </c>
    </row>
    <row r="690" spans="1:3" ht="15">
      <c r="A690" s="75">
        <v>45269</v>
      </c>
      <c r="B690" s="76" t="s">
        <v>91</v>
      </c>
      <c r="C690" s="77" t="s">
        <v>73</v>
      </c>
    </row>
    <row r="691" spans="1:3" ht="15">
      <c r="A691" s="75">
        <v>45270</v>
      </c>
      <c r="B691" s="76" t="s">
        <v>92</v>
      </c>
      <c r="C691" s="77" t="s">
        <v>73</v>
      </c>
    </row>
    <row r="692" spans="1:3" ht="15">
      <c r="A692" s="75">
        <v>45271</v>
      </c>
      <c r="B692" s="76" t="s">
        <v>93</v>
      </c>
      <c r="C692" s="77" t="s">
        <v>73</v>
      </c>
    </row>
    <row r="693" spans="1:3" ht="15">
      <c r="A693" s="75">
        <v>45272</v>
      </c>
      <c r="B693" s="76" t="s">
        <v>94</v>
      </c>
      <c r="C693" s="77" t="s">
        <v>73</v>
      </c>
    </row>
    <row r="694" spans="1:3" ht="15">
      <c r="A694" s="75">
        <v>45273</v>
      </c>
      <c r="B694" s="76" t="s">
        <v>95</v>
      </c>
      <c r="C694" s="77" t="s">
        <v>73</v>
      </c>
    </row>
    <row r="695" spans="1:3" ht="15">
      <c r="A695" s="75">
        <v>45274</v>
      </c>
      <c r="B695" s="76" t="s">
        <v>96</v>
      </c>
      <c r="C695" s="77" t="s">
        <v>73</v>
      </c>
    </row>
    <row r="696" spans="1:3" ht="15">
      <c r="A696" s="75">
        <v>45275</v>
      </c>
      <c r="B696" s="76" t="s">
        <v>97</v>
      </c>
      <c r="C696" s="77" t="s">
        <v>73</v>
      </c>
    </row>
    <row r="697" spans="1:3" ht="15">
      <c r="A697" s="75">
        <v>45316</v>
      </c>
      <c r="B697" s="76" t="s">
        <v>101</v>
      </c>
      <c r="C697" s="77" t="s">
        <v>73</v>
      </c>
    </row>
    <row r="698" spans="1:3" ht="15">
      <c r="A698" s="75">
        <v>45318</v>
      </c>
      <c r="B698" s="76" t="s">
        <v>99</v>
      </c>
      <c r="C698" s="77" t="s">
        <v>100</v>
      </c>
    </row>
    <row r="699" spans="1:3" ht="15">
      <c r="A699" s="75">
        <v>45568</v>
      </c>
      <c r="B699" s="76" t="s">
        <v>72</v>
      </c>
      <c r="C699" s="77" t="s">
        <v>73</v>
      </c>
    </row>
    <row r="700" spans="1:3" ht="15">
      <c r="A700" s="75">
        <v>45569</v>
      </c>
      <c r="B700" s="76" t="s">
        <v>74</v>
      </c>
      <c r="C700" s="77" t="s">
        <v>73</v>
      </c>
    </row>
    <row r="701" spans="1:3" ht="15">
      <c r="A701" s="75">
        <v>45576</v>
      </c>
      <c r="B701" s="76" t="s">
        <v>76</v>
      </c>
      <c r="C701" s="77" t="s">
        <v>73</v>
      </c>
    </row>
    <row r="702" spans="1:3" ht="15">
      <c r="A702" s="75">
        <v>45577</v>
      </c>
      <c r="B702" s="76" t="s">
        <v>77</v>
      </c>
      <c r="C702" s="77" t="s">
        <v>73</v>
      </c>
    </row>
    <row r="703" spans="1:3" ht="15">
      <c r="A703" s="75">
        <v>45581</v>
      </c>
      <c r="B703" s="76" t="s">
        <v>78</v>
      </c>
      <c r="C703" s="77" t="s">
        <v>73</v>
      </c>
    </row>
    <row r="704" spans="1:3" ht="15">
      <c r="A704" s="75">
        <v>45582</v>
      </c>
      <c r="B704" s="76" t="s">
        <v>79</v>
      </c>
      <c r="C704" s="77" t="s">
        <v>73</v>
      </c>
    </row>
    <row r="705" spans="1:3" ht="15">
      <c r="A705" s="75">
        <v>45583</v>
      </c>
      <c r="B705" s="76" t="s">
        <v>80</v>
      </c>
      <c r="C705" s="77" t="s">
        <v>73</v>
      </c>
    </row>
    <row r="706" spans="1:3" ht="15">
      <c r="A706" s="75">
        <v>45584</v>
      </c>
      <c r="B706" s="76" t="s">
        <v>81</v>
      </c>
      <c r="C706" s="77" t="s">
        <v>73</v>
      </c>
    </row>
    <row r="707" spans="1:3" ht="15">
      <c r="A707" s="75">
        <v>45585</v>
      </c>
      <c r="B707" s="76" t="s">
        <v>82</v>
      </c>
      <c r="C707" s="77" t="s">
        <v>73</v>
      </c>
    </row>
    <row r="708" spans="1:3" ht="15">
      <c r="A708" s="75">
        <v>45586</v>
      </c>
      <c r="B708" s="76" t="s">
        <v>83</v>
      </c>
      <c r="C708" s="77" t="s">
        <v>73</v>
      </c>
    </row>
    <row r="709" spans="1:3" ht="15">
      <c r="A709" s="75">
        <v>45587</v>
      </c>
      <c r="B709" s="76" t="s">
        <v>84</v>
      </c>
      <c r="C709" s="77" t="s">
        <v>73</v>
      </c>
    </row>
    <row r="710" spans="1:3" ht="15">
      <c r="A710" s="75">
        <v>45588</v>
      </c>
      <c r="B710" s="76" t="s">
        <v>85</v>
      </c>
      <c r="C710" s="77" t="s">
        <v>73</v>
      </c>
    </row>
    <row r="711" spans="1:3" ht="15">
      <c r="A711" s="75">
        <v>45589</v>
      </c>
      <c r="B711" s="76" t="s">
        <v>86</v>
      </c>
      <c r="C711" s="77" t="s">
        <v>73</v>
      </c>
    </row>
    <row r="712" spans="1:3" ht="15">
      <c r="A712" s="75">
        <v>45590</v>
      </c>
      <c r="B712" s="76" t="s">
        <v>87</v>
      </c>
      <c r="C712" s="77" t="s">
        <v>73</v>
      </c>
    </row>
    <row r="713" spans="1:3" ht="15">
      <c r="A713" s="75">
        <v>45652</v>
      </c>
      <c r="B713" s="76" t="s">
        <v>90</v>
      </c>
      <c r="C713" s="77" t="s">
        <v>73</v>
      </c>
    </row>
    <row r="714" spans="1:3" ht="15">
      <c r="A714" s="75">
        <v>45653</v>
      </c>
      <c r="B714" s="76" t="s">
        <v>91</v>
      </c>
      <c r="C714" s="77" t="s">
        <v>73</v>
      </c>
    </row>
    <row r="715" spans="1:3" ht="15">
      <c r="A715" s="75">
        <v>45654</v>
      </c>
      <c r="B715" s="76" t="s">
        <v>92</v>
      </c>
      <c r="C715" s="77" t="s">
        <v>73</v>
      </c>
    </row>
    <row r="716" spans="1:3" ht="15">
      <c r="A716" s="75">
        <v>45655</v>
      </c>
      <c r="B716" s="76" t="s">
        <v>93</v>
      </c>
      <c r="C716" s="77" t="s">
        <v>73</v>
      </c>
    </row>
    <row r="717" spans="1:3" ht="15">
      <c r="A717" s="75">
        <v>45656</v>
      </c>
      <c r="B717" s="76" t="s">
        <v>94</v>
      </c>
      <c r="C717" s="77" t="s">
        <v>73</v>
      </c>
    </row>
    <row r="718" spans="1:3" ht="15">
      <c r="A718" s="75">
        <v>45657</v>
      </c>
      <c r="B718" s="76" t="s">
        <v>95</v>
      </c>
      <c r="C718" s="77" t="s">
        <v>73</v>
      </c>
    </row>
    <row r="719" spans="1:3" ht="15">
      <c r="A719" s="75">
        <v>45658</v>
      </c>
      <c r="B719" s="76" t="s">
        <v>96</v>
      </c>
      <c r="C719" s="77" t="s">
        <v>73</v>
      </c>
    </row>
    <row r="720" spans="1:3" ht="15">
      <c r="A720" s="75">
        <v>45659</v>
      </c>
      <c r="B720" s="76" t="s">
        <v>97</v>
      </c>
      <c r="C720" s="77" t="s">
        <v>73</v>
      </c>
    </row>
    <row r="721" spans="1:3" ht="15">
      <c r="A721" s="75">
        <v>45684</v>
      </c>
      <c r="B721" s="76" t="s">
        <v>99</v>
      </c>
      <c r="C721" s="77" t="s">
        <v>100</v>
      </c>
    </row>
    <row r="722" spans="1:3" ht="15">
      <c r="A722" s="75">
        <v>45701</v>
      </c>
      <c r="B722" s="76" t="s">
        <v>101</v>
      </c>
      <c r="C722" s="77" t="s">
        <v>73</v>
      </c>
    </row>
    <row r="723" spans="1:3" ht="15">
      <c r="A723" s="75">
        <v>45923</v>
      </c>
      <c r="B723" s="76" t="s">
        <v>72</v>
      </c>
      <c r="C723" s="77" t="s">
        <v>73</v>
      </c>
    </row>
    <row r="724" spans="1:3" ht="15">
      <c r="A724" s="75">
        <v>45924</v>
      </c>
      <c r="B724" s="76" t="s">
        <v>74</v>
      </c>
      <c r="C724" s="77" t="s">
        <v>73</v>
      </c>
    </row>
    <row r="725" spans="1:3" ht="15">
      <c r="A725" s="75">
        <v>45931</v>
      </c>
      <c r="B725" s="76" t="s">
        <v>76</v>
      </c>
      <c r="C725" s="77" t="s">
        <v>73</v>
      </c>
    </row>
    <row r="726" spans="1:3" ht="15">
      <c r="A726" s="75">
        <v>45932</v>
      </c>
      <c r="B726" s="76" t="s">
        <v>77</v>
      </c>
      <c r="C726" s="77" t="s">
        <v>73</v>
      </c>
    </row>
    <row r="727" spans="1:3" ht="15">
      <c r="A727" s="75">
        <v>45936</v>
      </c>
      <c r="B727" s="76" t="s">
        <v>78</v>
      </c>
      <c r="C727" s="77" t="s">
        <v>73</v>
      </c>
    </row>
    <row r="728" spans="1:3" ht="15">
      <c r="A728" s="75">
        <v>45937</v>
      </c>
      <c r="B728" s="76" t="s">
        <v>79</v>
      </c>
      <c r="C728" s="77" t="s">
        <v>73</v>
      </c>
    </row>
    <row r="729" spans="1:3" ht="15">
      <c r="A729" s="75">
        <v>45938</v>
      </c>
      <c r="B729" s="76" t="s">
        <v>80</v>
      </c>
      <c r="C729" s="77" t="s">
        <v>73</v>
      </c>
    </row>
    <row r="730" spans="1:3" ht="15">
      <c r="A730" s="75">
        <v>45939</v>
      </c>
      <c r="B730" s="76" t="s">
        <v>81</v>
      </c>
      <c r="C730" s="77" t="s">
        <v>73</v>
      </c>
    </row>
    <row r="731" spans="1:3" ht="15">
      <c r="A731" s="75">
        <v>45940</v>
      </c>
      <c r="B731" s="76" t="s">
        <v>82</v>
      </c>
      <c r="C731" s="77" t="s">
        <v>73</v>
      </c>
    </row>
    <row r="732" spans="1:3" ht="15">
      <c r="A732" s="75">
        <v>45941</v>
      </c>
      <c r="B732" s="76" t="s">
        <v>83</v>
      </c>
      <c r="C732" s="77" t="s">
        <v>73</v>
      </c>
    </row>
    <row r="733" spans="1:3" ht="15">
      <c r="A733" s="75">
        <v>45942</v>
      </c>
      <c r="B733" s="76" t="s">
        <v>84</v>
      </c>
      <c r="C733" s="77" t="s">
        <v>73</v>
      </c>
    </row>
    <row r="734" spans="1:3" ht="15">
      <c r="A734" s="75">
        <v>45943</v>
      </c>
      <c r="B734" s="76" t="s">
        <v>85</v>
      </c>
      <c r="C734" s="77" t="s">
        <v>73</v>
      </c>
    </row>
    <row r="735" spans="1:3" ht="15">
      <c r="A735" s="75">
        <v>45944</v>
      </c>
      <c r="B735" s="76" t="s">
        <v>86</v>
      </c>
      <c r="C735" s="77" t="s">
        <v>73</v>
      </c>
    </row>
    <row r="736" spans="1:3" ht="15">
      <c r="A736" s="75">
        <v>45945</v>
      </c>
      <c r="B736" s="76" t="s">
        <v>87</v>
      </c>
      <c r="C736" s="77" t="s">
        <v>73</v>
      </c>
    </row>
    <row r="737" spans="1:3" ht="15">
      <c r="A737" s="75">
        <v>46006</v>
      </c>
      <c r="B737" s="76" t="s">
        <v>90</v>
      </c>
      <c r="C737" s="77" t="s">
        <v>73</v>
      </c>
    </row>
    <row r="738" spans="1:3" ht="15">
      <c r="A738" s="75">
        <v>46007</v>
      </c>
      <c r="B738" s="76" t="s">
        <v>91</v>
      </c>
      <c r="C738" s="77" t="s">
        <v>73</v>
      </c>
    </row>
    <row r="739" spans="1:3" ht="15">
      <c r="A739" s="75">
        <v>46008</v>
      </c>
      <c r="B739" s="76" t="s">
        <v>92</v>
      </c>
      <c r="C739" s="77" t="s">
        <v>73</v>
      </c>
    </row>
    <row r="740" spans="1:3" ht="15">
      <c r="A740" s="75">
        <v>46009</v>
      </c>
      <c r="B740" s="76" t="s">
        <v>93</v>
      </c>
      <c r="C740" s="77" t="s">
        <v>73</v>
      </c>
    </row>
    <row r="741" spans="1:3" ht="15">
      <c r="A741" s="75">
        <v>46010</v>
      </c>
      <c r="B741" s="76" t="s">
        <v>94</v>
      </c>
      <c r="C741" s="77" t="s">
        <v>73</v>
      </c>
    </row>
    <row r="742" spans="1:3" ht="15">
      <c r="A742" s="75">
        <v>46011</v>
      </c>
      <c r="B742" s="76" t="s">
        <v>95</v>
      </c>
      <c r="C742" s="77" t="s">
        <v>73</v>
      </c>
    </row>
    <row r="743" spans="1:3" ht="15">
      <c r="A743" s="75">
        <v>46012</v>
      </c>
      <c r="B743" s="76" t="s">
        <v>96</v>
      </c>
      <c r="C743" s="77" t="s">
        <v>73</v>
      </c>
    </row>
    <row r="744" spans="1:3" ht="15">
      <c r="A744" s="75">
        <v>46013</v>
      </c>
      <c r="B744" s="76" t="s">
        <v>97</v>
      </c>
      <c r="C744" s="77" t="s">
        <v>73</v>
      </c>
    </row>
    <row r="745" spans="1:3" ht="15">
      <c r="A745" s="75">
        <v>46049</v>
      </c>
      <c r="B745" s="76" t="s">
        <v>99</v>
      </c>
      <c r="C745" s="77" t="s">
        <v>100</v>
      </c>
    </row>
    <row r="746" spans="1:3" ht="15">
      <c r="A746" s="75">
        <v>46055</v>
      </c>
      <c r="B746" s="76" t="s">
        <v>101</v>
      </c>
      <c r="C746" s="77" t="s">
        <v>73</v>
      </c>
    </row>
    <row r="747" spans="1:3" ht="15">
      <c r="A747" s="75">
        <v>46277</v>
      </c>
      <c r="B747" s="76" t="s">
        <v>72</v>
      </c>
      <c r="C747" s="77" t="s">
        <v>73</v>
      </c>
    </row>
    <row r="748" spans="1:3" ht="15">
      <c r="A748" s="75">
        <v>46278</v>
      </c>
      <c r="B748" s="76" t="s">
        <v>74</v>
      </c>
      <c r="C748" s="77" t="s">
        <v>73</v>
      </c>
    </row>
    <row r="749" spans="1:3" ht="15">
      <c r="A749" s="75">
        <v>46285</v>
      </c>
      <c r="B749" s="76" t="s">
        <v>76</v>
      </c>
      <c r="C749" s="77" t="s">
        <v>73</v>
      </c>
    </row>
    <row r="750" spans="1:3" ht="15">
      <c r="A750" s="75">
        <v>46286</v>
      </c>
      <c r="B750" s="76" t="s">
        <v>77</v>
      </c>
      <c r="C750" s="77" t="s">
        <v>73</v>
      </c>
    </row>
    <row r="751" spans="1:3" ht="15">
      <c r="A751" s="75">
        <v>46290</v>
      </c>
      <c r="B751" s="76" t="s">
        <v>78</v>
      </c>
      <c r="C751" s="77" t="s">
        <v>73</v>
      </c>
    </row>
    <row r="752" spans="1:3" ht="15">
      <c r="A752" s="75">
        <v>46291</v>
      </c>
      <c r="B752" s="76" t="s">
        <v>79</v>
      </c>
      <c r="C752" s="77" t="s">
        <v>73</v>
      </c>
    </row>
    <row r="753" spans="1:3" ht="15">
      <c r="A753" s="75">
        <v>46292</v>
      </c>
      <c r="B753" s="76" t="s">
        <v>80</v>
      </c>
      <c r="C753" s="77" t="s">
        <v>73</v>
      </c>
    </row>
    <row r="754" spans="1:3" ht="15">
      <c r="A754" s="75">
        <v>46293</v>
      </c>
      <c r="B754" s="76" t="s">
        <v>81</v>
      </c>
      <c r="C754" s="77" t="s">
        <v>73</v>
      </c>
    </row>
    <row r="755" spans="1:3" ht="15">
      <c r="A755" s="75">
        <v>46294</v>
      </c>
      <c r="B755" s="76" t="s">
        <v>82</v>
      </c>
      <c r="C755" s="77" t="s">
        <v>73</v>
      </c>
    </row>
    <row r="756" spans="1:3" ht="15">
      <c r="A756" s="75">
        <v>46295</v>
      </c>
      <c r="B756" s="76" t="s">
        <v>83</v>
      </c>
      <c r="C756" s="77" t="s">
        <v>73</v>
      </c>
    </row>
    <row r="757" spans="1:3" ht="15">
      <c r="A757" s="75">
        <v>46296</v>
      </c>
      <c r="B757" s="76" t="s">
        <v>84</v>
      </c>
      <c r="C757" s="77" t="s">
        <v>73</v>
      </c>
    </row>
    <row r="758" spans="1:3" ht="15">
      <c r="A758" s="75">
        <v>46297</v>
      </c>
      <c r="B758" s="76" t="s">
        <v>85</v>
      </c>
      <c r="C758" s="77" t="s">
        <v>73</v>
      </c>
    </row>
    <row r="759" spans="1:3" ht="15">
      <c r="A759" s="75">
        <v>46298</v>
      </c>
      <c r="B759" s="76" t="s">
        <v>86</v>
      </c>
      <c r="C759" s="77" t="s">
        <v>73</v>
      </c>
    </row>
    <row r="760" spans="1:3" ht="15">
      <c r="A760" s="75">
        <v>46299</v>
      </c>
      <c r="B760" s="76" t="s">
        <v>87</v>
      </c>
      <c r="C760" s="77" t="s">
        <v>73</v>
      </c>
    </row>
    <row r="761" spans="1:3" ht="15">
      <c r="A761" s="75">
        <v>46361</v>
      </c>
      <c r="B761" s="76" t="s">
        <v>90</v>
      </c>
      <c r="C761" s="77" t="s">
        <v>73</v>
      </c>
    </row>
    <row r="762" spans="1:3" ht="15">
      <c r="A762" s="75">
        <v>46362</v>
      </c>
      <c r="B762" s="76" t="s">
        <v>91</v>
      </c>
      <c r="C762" s="77" t="s">
        <v>73</v>
      </c>
    </row>
    <row r="763" spans="1:3" ht="15">
      <c r="A763" s="75">
        <v>46363</v>
      </c>
      <c r="B763" s="76" t="s">
        <v>92</v>
      </c>
      <c r="C763" s="77" t="s">
        <v>73</v>
      </c>
    </row>
    <row r="764" spans="1:3" ht="15">
      <c r="A764" s="75">
        <v>46364</v>
      </c>
      <c r="B764" s="76" t="s">
        <v>93</v>
      </c>
      <c r="C764" s="77" t="s">
        <v>73</v>
      </c>
    </row>
    <row r="765" spans="1:3" ht="15">
      <c r="A765" s="75">
        <v>46365</v>
      </c>
      <c r="B765" s="76" t="s">
        <v>94</v>
      </c>
      <c r="C765" s="77" t="s">
        <v>73</v>
      </c>
    </row>
    <row r="766" spans="1:3" ht="15">
      <c r="A766" s="75">
        <v>46366</v>
      </c>
      <c r="B766" s="76" t="s">
        <v>95</v>
      </c>
      <c r="C766" s="77" t="s">
        <v>73</v>
      </c>
    </row>
    <row r="767" spans="1:3" ht="15">
      <c r="A767" s="75">
        <v>46367</v>
      </c>
      <c r="B767" s="76" t="s">
        <v>96</v>
      </c>
      <c r="C767" s="77" t="s">
        <v>73</v>
      </c>
    </row>
    <row r="768" spans="1:3" ht="15">
      <c r="A768" s="75">
        <v>46368</v>
      </c>
      <c r="B768" s="76" t="s">
        <v>97</v>
      </c>
      <c r="C768" s="77" t="s">
        <v>73</v>
      </c>
    </row>
    <row r="769" spans="1:3" ht="15">
      <c r="A769" s="75">
        <v>46410</v>
      </c>
      <c r="B769" s="76" t="s">
        <v>101</v>
      </c>
      <c r="C769" s="77" t="s">
        <v>73</v>
      </c>
    </row>
    <row r="770" spans="1:3" ht="15">
      <c r="A770" s="75">
        <v>46414</v>
      </c>
      <c r="B770" s="76" t="s">
        <v>99</v>
      </c>
      <c r="C770" s="77" t="s">
        <v>100</v>
      </c>
    </row>
    <row r="771" spans="1:3" ht="15">
      <c r="A771" s="75">
        <v>46662</v>
      </c>
      <c r="B771" s="76" t="s">
        <v>72</v>
      </c>
      <c r="C771" s="77" t="s">
        <v>73</v>
      </c>
    </row>
    <row r="772" spans="1:3" ht="15">
      <c r="A772" s="75">
        <v>46663</v>
      </c>
      <c r="B772" s="76" t="s">
        <v>74</v>
      </c>
      <c r="C772" s="77" t="s">
        <v>73</v>
      </c>
    </row>
    <row r="773" spans="1:3" ht="15">
      <c r="A773" s="75">
        <v>46670</v>
      </c>
      <c r="B773" s="76" t="s">
        <v>76</v>
      </c>
      <c r="C773" s="77" t="s">
        <v>73</v>
      </c>
    </row>
    <row r="774" spans="1:3" ht="15">
      <c r="A774" s="75">
        <v>46671</v>
      </c>
      <c r="B774" s="76" t="s">
        <v>77</v>
      </c>
      <c r="C774" s="77" t="s">
        <v>73</v>
      </c>
    </row>
    <row r="775" spans="1:3" ht="15">
      <c r="A775" s="75">
        <v>46675</v>
      </c>
      <c r="B775" s="76" t="s">
        <v>78</v>
      </c>
      <c r="C775" s="77" t="s">
        <v>73</v>
      </c>
    </row>
    <row r="776" spans="1:3" ht="15">
      <c r="A776" s="75">
        <v>46676</v>
      </c>
      <c r="B776" s="76" t="s">
        <v>79</v>
      </c>
      <c r="C776" s="77" t="s">
        <v>73</v>
      </c>
    </row>
    <row r="777" spans="1:3" ht="15">
      <c r="A777" s="75">
        <v>46677</v>
      </c>
      <c r="B777" s="76" t="s">
        <v>80</v>
      </c>
      <c r="C777" s="77" t="s">
        <v>73</v>
      </c>
    </row>
    <row r="778" spans="1:3" ht="15">
      <c r="A778" s="75">
        <v>46678</v>
      </c>
      <c r="B778" s="76" t="s">
        <v>81</v>
      </c>
      <c r="C778" s="77" t="s">
        <v>73</v>
      </c>
    </row>
    <row r="779" spans="1:3" ht="15">
      <c r="A779" s="75">
        <v>46679</v>
      </c>
      <c r="B779" s="76" t="s">
        <v>82</v>
      </c>
      <c r="C779" s="77" t="s">
        <v>73</v>
      </c>
    </row>
    <row r="780" spans="1:3" ht="15">
      <c r="A780" s="75">
        <v>46680</v>
      </c>
      <c r="B780" s="76" t="s">
        <v>83</v>
      </c>
      <c r="C780" s="77" t="s">
        <v>73</v>
      </c>
    </row>
    <row r="781" spans="1:3" ht="15">
      <c r="A781" s="75">
        <v>46681</v>
      </c>
      <c r="B781" s="76" t="s">
        <v>84</v>
      </c>
      <c r="C781" s="77" t="s">
        <v>73</v>
      </c>
    </row>
    <row r="782" spans="1:3" ht="15">
      <c r="A782" s="75">
        <v>46682</v>
      </c>
      <c r="B782" s="76" t="s">
        <v>85</v>
      </c>
      <c r="C782" s="77" t="s">
        <v>73</v>
      </c>
    </row>
    <row r="783" spans="1:3" ht="15">
      <c r="A783" s="75">
        <v>46683</v>
      </c>
      <c r="B783" s="76" t="s">
        <v>86</v>
      </c>
      <c r="C783" s="77" t="s">
        <v>73</v>
      </c>
    </row>
    <row r="784" spans="1:3" ht="15">
      <c r="A784" s="75">
        <v>46684</v>
      </c>
      <c r="B784" s="76" t="s">
        <v>87</v>
      </c>
      <c r="C784" s="77" t="s">
        <v>73</v>
      </c>
    </row>
    <row r="785" spans="1:3" ht="15">
      <c r="A785" s="75">
        <v>46746</v>
      </c>
      <c r="B785" s="76" t="s">
        <v>90</v>
      </c>
      <c r="C785" s="77" t="s">
        <v>73</v>
      </c>
    </row>
    <row r="786" spans="1:3" ht="15">
      <c r="A786" s="75">
        <v>46747</v>
      </c>
      <c r="B786" s="76" t="s">
        <v>91</v>
      </c>
      <c r="C786" s="77" t="s">
        <v>73</v>
      </c>
    </row>
    <row r="787" spans="1:3" ht="15">
      <c r="A787" s="75">
        <v>46748</v>
      </c>
      <c r="B787" s="76" t="s">
        <v>92</v>
      </c>
      <c r="C787" s="77" t="s">
        <v>73</v>
      </c>
    </row>
    <row r="788" spans="1:3" ht="15">
      <c r="A788" s="75">
        <v>46749</v>
      </c>
      <c r="B788" s="76" t="s">
        <v>93</v>
      </c>
      <c r="C788" s="77" t="s">
        <v>73</v>
      </c>
    </row>
    <row r="789" spans="1:3" ht="15">
      <c r="A789" s="75">
        <v>46750</v>
      </c>
      <c r="B789" s="76" t="s">
        <v>94</v>
      </c>
      <c r="C789" s="77" t="s">
        <v>73</v>
      </c>
    </row>
    <row r="790" spans="1:3" ht="15">
      <c r="A790" s="75">
        <v>46751</v>
      </c>
      <c r="B790" s="76" t="s">
        <v>95</v>
      </c>
      <c r="C790" s="77" t="s">
        <v>73</v>
      </c>
    </row>
    <row r="791" spans="1:3" ht="15">
      <c r="A791" s="75">
        <v>46752</v>
      </c>
      <c r="B791" s="76" t="s">
        <v>96</v>
      </c>
      <c r="C791" s="77" t="s">
        <v>73</v>
      </c>
    </row>
    <row r="792" spans="1:3" ht="15">
      <c r="A792" s="75">
        <v>46753</v>
      </c>
      <c r="B792" s="76" t="s">
        <v>97</v>
      </c>
      <c r="C792" s="77" t="s">
        <v>73</v>
      </c>
    </row>
    <row r="793" spans="1:3" ht="15">
      <c r="A793" s="75">
        <v>46779</v>
      </c>
      <c r="B793" s="76" t="s">
        <v>99</v>
      </c>
      <c r="C793" s="77" t="s">
        <v>100</v>
      </c>
    </row>
    <row r="794" spans="1:3" ht="15">
      <c r="A794" s="75">
        <v>46795</v>
      </c>
      <c r="B794" s="76" t="s">
        <v>101</v>
      </c>
      <c r="C794" s="77" t="s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70"/>
  <sheetViews>
    <sheetView rightToLeft="1" workbookViewId="0">
      <selection activeCell="T27" sqref="T27"/>
    </sheetView>
  </sheetViews>
  <sheetFormatPr defaultColWidth="8.875" defaultRowHeight="14.25"/>
  <cols>
    <col min="1" max="1" width="10.625" bestFit="1" customWidth="1"/>
    <col min="3" max="3" width="11.125" bestFit="1" customWidth="1"/>
    <col min="5" max="5" width="8" bestFit="1" customWidth="1"/>
    <col min="8" max="8" width="13.625" bestFit="1" customWidth="1"/>
    <col min="16" max="16" width="14.125" bestFit="1" customWidth="1"/>
    <col min="17" max="17" width="12.625" bestFit="1" customWidth="1"/>
    <col min="18" max="18" width="6.125" bestFit="1" customWidth="1"/>
    <col min="19" max="19" width="8.125" bestFit="1" customWidth="1"/>
    <col min="20" max="20" width="7.125" bestFit="1" customWidth="1"/>
  </cols>
  <sheetData>
    <row r="1" spans="1:19">
      <c r="A1" t="s">
        <v>36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</row>
    <row r="2" spans="1:19">
      <c r="A2" s="70">
        <v>43405</v>
      </c>
      <c r="B2" t="s">
        <v>17</v>
      </c>
      <c r="C2" s="71">
        <v>0.33333333333333331</v>
      </c>
      <c r="D2" s="71">
        <v>0.36805555555555558</v>
      </c>
      <c r="E2">
        <v>0.83299999999999996</v>
      </c>
      <c r="F2">
        <v>50</v>
      </c>
      <c r="G2" t="s">
        <v>49</v>
      </c>
      <c r="H2" t="s">
        <v>50</v>
      </c>
      <c r="I2" t="s">
        <v>10</v>
      </c>
      <c r="J2" t="s">
        <v>51</v>
      </c>
      <c r="K2">
        <v>7</v>
      </c>
      <c r="L2">
        <v>7</v>
      </c>
      <c r="M2">
        <v>17</v>
      </c>
      <c r="N2" t="s">
        <v>52</v>
      </c>
    </row>
    <row r="3" spans="1:19">
      <c r="A3" s="70">
        <v>43405</v>
      </c>
      <c r="B3" t="s">
        <v>17</v>
      </c>
      <c r="C3" s="71">
        <v>0.75</v>
      </c>
      <c r="D3" s="71">
        <v>0.78472222222222221</v>
      </c>
      <c r="E3">
        <v>0.83299999999999996</v>
      </c>
      <c r="F3">
        <v>50</v>
      </c>
      <c r="G3" t="s">
        <v>49</v>
      </c>
      <c r="H3" t="s">
        <v>10</v>
      </c>
      <c r="I3" t="s">
        <v>10</v>
      </c>
      <c r="J3" t="s">
        <v>53</v>
      </c>
      <c r="K3">
        <v>10</v>
      </c>
      <c r="L3">
        <v>6</v>
      </c>
      <c r="M3">
        <v>31</v>
      </c>
      <c r="N3" t="s">
        <v>52</v>
      </c>
    </row>
    <row r="4" spans="1:19">
      <c r="A4" s="70">
        <v>43408</v>
      </c>
      <c r="B4" t="s">
        <v>18</v>
      </c>
      <c r="C4" s="71">
        <v>0.35416666666666669</v>
      </c>
      <c r="D4" s="71">
        <v>0.3888888888888889</v>
      </c>
      <c r="E4">
        <v>0.83299999999999996</v>
      </c>
      <c r="F4">
        <v>50</v>
      </c>
      <c r="G4" t="s">
        <v>49</v>
      </c>
      <c r="H4" t="s">
        <v>10</v>
      </c>
      <c r="I4" t="s">
        <v>10</v>
      </c>
      <c r="J4" t="s">
        <v>53</v>
      </c>
      <c r="K4">
        <v>10</v>
      </c>
      <c r="L4">
        <v>0</v>
      </c>
      <c r="M4">
        <v>6</v>
      </c>
      <c r="N4" t="s">
        <v>52</v>
      </c>
      <c r="P4" s="72" t="s">
        <v>68</v>
      </c>
      <c r="Q4" s="72" t="s">
        <v>69</v>
      </c>
    </row>
    <row r="5" spans="1:19">
      <c r="A5" s="70">
        <v>43408</v>
      </c>
      <c r="B5" t="s">
        <v>18</v>
      </c>
      <c r="C5" s="71">
        <v>0.75</v>
      </c>
      <c r="D5" s="71">
        <v>0.78472222222222221</v>
      </c>
      <c r="E5">
        <v>0.83299999999999996</v>
      </c>
      <c r="F5">
        <v>50</v>
      </c>
      <c r="G5" t="s">
        <v>49</v>
      </c>
      <c r="H5" t="s">
        <v>16</v>
      </c>
      <c r="I5" t="s">
        <v>10</v>
      </c>
      <c r="J5" t="s">
        <v>54</v>
      </c>
      <c r="K5">
        <v>12</v>
      </c>
      <c r="L5">
        <v>11</v>
      </c>
      <c r="M5">
        <v>0</v>
      </c>
      <c r="N5" t="s">
        <v>52</v>
      </c>
      <c r="P5" s="72" t="s">
        <v>66</v>
      </c>
      <c r="Q5" t="s">
        <v>63</v>
      </c>
      <c r="R5" t="s">
        <v>49</v>
      </c>
      <c r="S5" t="s">
        <v>67</v>
      </c>
    </row>
    <row r="6" spans="1:19">
      <c r="A6" s="70">
        <v>43408</v>
      </c>
      <c r="B6" t="s">
        <v>18</v>
      </c>
      <c r="C6" s="71">
        <v>0.79166666666666663</v>
      </c>
      <c r="D6" s="71">
        <v>0.82638888888888884</v>
      </c>
      <c r="E6">
        <v>0.83299999999999996</v>
      </c>
      <c r="F6">
        <v>50</v>
      </c>
      <c r="G6" t="s">
        <v>49</v>
      </c>
      <c r="H6" t="s">
        <v>13</v>
      </c>
      <c r="I6" t="s">
        <v>10</v>
      </c>
      <c r="J6" t="s">
        <v>51</v>
      </c>
      <c r="K6">
        <v>9</v>
      </c>
      <c r="L6">
        <v>9</v>
      </c>
      <c r="M6">
        <v>0</v>
      </c>
      <c r="N6" t="s">
        <v>52</v>
      </c>
      <c r="P6" s="73" t="s">
        <v>10</v>
      </c>
      <c r="R6">
        <v>3</v>
      </c>
      <c r="S6">
        <v>3</v>
      </c>
    </row>
    <row r="7" spans="1:19">
      <c r="A7" s="70">
        <v>43409</v>
      </c>
      <c r="B7" t="s">
        <v>19</v>
      </c>
      <c r="C7" s="71">
        <v>0.3125</v>
      </c>
      <c r="D7" s="71">
        <v>0.34722222222222227</v>
      </c>
      <c r="E7">
        <v>0.83299999999999996</v>
      </c>
      <c r="F7">
        <v>50</v>
      </c>
      <c r="G7" t="s">
        <v>49</v>
      </c>
      <c r="H7" t="s">
        <v>16</v>
      </c>
      <c r="I7" t="s">
        <v>10</v>
      </c>
      <c r="J7" t="s">
        <v>55</v>
      </c>
      <c r="K7">
        <v>9</v>
      </c>
      <c r="L7">
        <v>8</v>
      </c>
      <c r="M7">
        <v>0</v>
      </c>
      <c r="N7" t="s">
        <v>52</v>
      </c>
      <c r="P7" s="73" t="s">
        <v>12</v>
      </c>
      <c r="R7">
        <v>4</v>
      </c>
      <c r="S7">
        <v>4</v>
      </c>
    </row>
    <row r="8" spans="1:19">
      <c r="A8" s="70">
        <v>43409</v>
      </c>
      <c r="B8" t="s">
        <v>19</v>
      </c>
      <c r="C8" s="71">
        <v>0.35416666666666669</v>
      </c>
      <c r="D8" s="71">
        <v>0.3888888888888889</v>
      </c>
      <c r="E8">
        <v>0.83299999999999996</v>
      </c>
      <c r="F8">
        <v>50</v>
      </c>
      <c r="G8" t="s">
        <v>49</v>
      </c>
      <c r="H8" t="s">
        <v>14</v>
      </c>
      <c r="I8" t="s">
        <v>10</v>
      </c>
      <c r="J8" t="s">
        <v>56</v>
      </c>
      <c r="K8">
        <v>10</v>
      </c>
      <c r="L8">
        <v>9</v>
      </c>
      <c r="M8">
        <v>0</v>
      </c>
      <c r="N8" t="s">
        <v>52</v>
      </c>
      <c r="P8" s="73" t="s">
        <v>13</v>
      </c>
      <c r="R8">
        <v>7</v>
      </c>
      <c r="S8">
        <v>7</v>
      </c>
    </row>
    <row r="9" spans="1:19">
      <c r="A9" s="70">
        <v>43409</v>
      </c>
      <c r="B9" t="s">
        <v>19</v>
      </c>
      <c r="C9" s="71">
        <v>0.79166666666666663</v>
      </c>
      <c r="D9" s="71">
        <v>0.82638888888888884</v>
      </c>
      <c r="E9">
        <v>0.83299999999999996</v>
      </c>
      <c r="F9">
        <v>50</v>
      </c>
      <c r="G9" t="s">
        <v>49</v>
      </c>
      <c r="H9" t="s">
        <v>10</v>
      </c>
      <c r="I9" t="s">
        <v>10</v>
      </c>
      <c r="J9" t="s">
        <v>53</v>
      </c>
      <c r="K9">
        <v>10</v>
      </c>
      <c r="L9">
        <v>8</v>
      </c>
      <c r="M9">
        <v>6</v>
      </c>
      <c r="N9" t="s">
        <v>52</v>
      </c>
      <c r="P9" s="73" t="s">
        <v>58</v>
      </c>
      <c r="R9">
        <v>9</v>
      </c>
      <c r="S9">
        <v>9</v>
      </c>
    </row>
    <row r="10" spans="1:19">
      <c r="A10" s="70">
        <v>43410</v>
      </c>
      <c r="B10" t="s">
        <v>20</v>
      </c>
      <c r="C10" s="71">
        <v>0.75</v>
      </c>
      <c r="D10" s="71">
        <v>0.78472222222222221</v>
      </c>
      <c r="E10">
        <v>0.83299999999999996</v>
      </c>
      <c r="F10">
        <v>50</v>
      </c>
      <c r="G10" t="s">
        <v>49</v>
      </c>
      <c r="H10" t="s">
        <v>57</v>
      </c>
      <c r="I10" t="s">
        <v>10</v>
      </c>
      <c r="J10" t="s">
        <v>56</v>
      </c>
      <c r="K10">
        <v>12</v>
      </c>
      <c r="L10">
        <v>9</v>
      </c>
      <c r="M10">
        <v>0</v>
      </c>
      <c r="N10" t="s">
        <v>52</v>
      </c>
      <c r="P10" s="73" t="s">
        <v>50</v>
      </c>
      <c r="Q10">
        <v>1</v>
      </c>
      <c r="R10">
        <v>9</v>
      </c>
      <c r="S10">
        <v>10</v>
      </c>
    </row>
    <row r="11" spans="1:19">
      <c r="A11" s="70">
        <v>43410</v>
      </c>
      <c r="B11" t="s">
        <v>20</v>
      </c>
      <c r="C11" s="71">
        <v>0.3125</v>
      </c>
      <c r="D11" s="71">
        <v>0.34722222222222227</v>
      </c>
      <c r="E11">
        <v>0.83299999999999996</v>
      </c>
      <c r="F11">
        <v>50</v>
      </c>
      <c r="G11" t="s">
        <v>49</v>
      </c>
      <c r="H11" t="s">
        <v>58</v>
      </c>
      <c r="I11" t="s">
        <v>10</v>
      </c>
      <c r="J11" t="s">
        <v>53</v>
      </c>
      <c r="K11">
        <v>5</v>
      </c>
      <c r="L11">
        <v>3</v>
      </c>
      <c r="M11">
        <v>0</v>
      </c>
      <c r="N11" t="s">
        <v>52</v>
      </c>
      <c r="P11" s="73" t="s">
        <v>59</v>
      </c>
      <c r="R11">
        <v>7</v>
      </c>
      <c r="S11">
        <v>7</v>
      </c>
    </row>
    <row r="12" spans="1:19">
      <c r="A12" s="70">
        <v>43410</v>
      </c>
      <c r="B12" t="s">
        <v>20</v>
      </c>
      <c r="C12" s="71">
        <v>0.35416666666666669</v>
      </c>
      <c r="D12" s="71">
        <v>0.3888888888888889</v>
      </c>
      <c r="E12">
        <v>0.83299999999999996</v>
      </c>
      <c r="F12">
        <v>50</v>
      </c>
      <c r="G12" t="s">
        <v>49</v>
      </c>
      <c r="H12" t="s">
        <v>12</v>
      </c>
      <c r="I12" t="s">
        <v>10</v>
      </c>
      <c r="J12" t="s">
        <v>51</v>
      </c>
      <c r="K12">
        <v>6</v>
      </c>
      <c r="L12">
        <v>4</v>
      </c>
      <c r="M12">
        <v>0</v>
      </c>
      <c r="N12" t="s">
        <v>52</v>
      </c>
      <c r="P12" s="73" t="s">
        <v>57</v>
      </c>
      <c r="R12">
        <v>4</v>
      </c>
      <c r="S12">
        <v>4</v>
      </c>
    </row>
    <row r="13" spans="1:19">
      <c r="A13" s="70">
        <v>43411</v>
      </c>
      <c r="B13" t="s">
        <v>21</v>
      </c>
      <c r="C13" s="71">
        <v>0.75</v>
      </c>
      <c r="D13" s="71">
        <v>0.78472222222222221</v>
      </c>
      <c r="E13">
        <v>0.83299999999999996</v>
      </c>
      <c r="F13">
        <v>50</v>
      </c>
      <c r="G13" t="s">
        <v>49</v>
      </c>
      <c r="H13" t="s">
        <v>16</v>
      </c>
      <c r="I13" t="s">
        <v>10</v>
      </c>
      <c r="J13" t="s">
        <v>55</v>
      </c>
      <c r="K13">
        <v>10</v>
      </c>
      <c r="L13">
        <v>9</v>
      </c>
      <c r="M13">
        <v>12</v>
      </c>
      <c r="N13" t="s">
        <v>52</v>
      </c>
      <c r="P13" s="73" t="s">
        <v>61</v>
      </c>
      <c r="R13">
        <v>2</v>
      </c>
      <c r="S13">
        <v>2</v>
      </c>
    </row>
    <row r="14" spans="1:19">
      <c r="A14" s="70">
        <v>43411</v>
      </c>
      <c r="B14" t="s">
        <v>21</v>
      </c>
      <c r="C14" s="71">
        <v>0.3125</v>
      </c>
      <c r="D14" s="71">
        <v>0.34722222222222227</v>
      </c>
      <c r="E14">
        <v>0.83299999999999996</v>
      </c>
      <c r="F14">
        <v>50</v>
      </c>
      <c r="G14" t="s">
        <v>49</v>
      </c>
      <c r="H14" t="s">
        <v>50</v>
      </c>
      <c r="I14" t="s">
        <v>10</v>
      </c>
      <c r="J14" t="s">
        <v>56</v>
      </c>
      <c r="K14">
        <v>11</v>
      </c>
      <c r="L14">
        <v>8</v>
      </c>
      <c r="M14">
        <v>0</v>
      </c>
      <c r="N14" t="s">
        <v>52</v>
      </c>
      <c r="P14" s="73" t="s">
        <v>16</v>
      </c>
      <c r="R14">
        <v>19</v>
      </c>
      <c r="S14">
        <v>19</v>
      </c>
    </row>
    <row r="15" spans="1:19">
      <c r="A15" s="70">
        <v>43411</v>
      </c>
      <c r="B15" t="s">
        <v>21</v>
      </c>
      <c r="C15" s="71">
        <v>0.79166666666666663</v>
      </c>
      <c r="D15" s="71">
        <v>0.82638888888888884</v>
      </c>
      <c r="E15">
        <v>0.83299999999999996</v>
      </c>
      <c r="F15">
        <v>50</v>
      </c>
      <c r="G15" t="s">
        <v>49</v>
      </c>
      <c r="H15" t="s">
        <v>16</v>
      </c>
      <c r="I15" t="s">
        <v>10</v>
      </c>
      <c r="J15" t="s">
        <v>54</v>
      </c>
      <c r="K15">
        <v>14</v>
      </c>
      <c r="L15">
        <v>12</v>
      </c>
      <c r="M15">
        <v>0</v>
      </c>
      <c r="N15" t="s">
        <v>52</v>
      </c>
      <c r="P15" s="73" t="s">
        <v>14</v>
      </c>
      <c r="Q15">
        <v>1</v>
      </c>
      <c r="R15">
        <v>3</v>
      </c>
      <c r="S15">
        <v>4</v>
      </c>
    </row>
    <row r="16" spans="1:19">
      <c r="A16" s="70">
        <v>43412</v>
      </c>
      <c r="B16" t="s">
        <v>17</v>
      </c>
      <c r="C16" s="71">
        <v>0.35416666666666669</v>
      </c>
      <c r="D16" s="71">
        <v>0.3888888888888889</v>
      </c>
      <c r="E16">
        <v>0.83299999999999996</v>
      </c>
      <c r="F16">
        <v>50</v>
      </c>
      <c r="G16" t="s">
        <v>49</v>
      </c>
      <c r="H16" t="s">
        <v>50</v>
      </c>
      <c r="I16" t="s">
        <v>10</v>
      </c>
      <c r="J16" t="s">
        <v>54</v>
      </c>
      <c r="K16">
        <v>12</v>
      </c>
      <c r="L16">
        <v>12</v>
      </c>
      <c r="M16">
        <v>0</v>
      </c>
      <c r="N16" t="s">
        <v>52</v>
      </c>
      <c r="P16" s="73" t="s">
        <v>67</v>
      </c>
      <c r="Q16">
        <v>2</v>
      </c>
      <c r="R16">
        <v>67</v>
      </c>
      <c r="S16">
        <v>69</v>
      </c>
    </row>
    <row r="17" spans="1:14">
      <c r="A17" s="70">
        <v>43412</v>
      </c>
      <c r="B17" t="s">
        <v>17</v>
      </c>
      <c r="C17" s="71">
        <v>0.75</v>
      </c>
      <c r="D17" s="71">
        <v>0.78472222222222221</v>
      </c>
      <c r="E17">
        <v>0.83299999999999996</v>
      </c>
      <c r="F17">
        <v>50</v>
      </c>
      <c r="G17" t="s">
        <v>49</v>
      </c>
      <c r="H17" t="s">
        <v>59</v>
      </c>
      <c r="I17" t="s">
        <v>10</v>
      </c>
      <c r="J17" t="s">
        <v>53</v>
      </c>
      <c r="K17">
        <v>11</v>
      </c>
      <c r="L17">
        <v>8</v>
      </c>
      <c r="M17">
        <v>16</v>
      </c>
      <c r="N17" t="s">
        <v>52</v>
      </c>
    </row>
    <row r="18" spans="1:14">
      <c r="A18" s="70">
        <v>43412</v>
      </c>
      <c r="B18" t="s">
        <v>17</v>
      </c>
      <c r="C18" s="71">
        <v>0.79166666666666663</v>
      </c>
      <c r="D18" s="71">
        <v>0.82638888888888884</v>
      </c>
      <c r="E18">
        <v>0.83299999999999996</v>
      </c>
      <c r="F18">
        <v>50</v>
      </c>
      <c r="G18" t="s">
        <v>49</v>
      </c>
      <c r="H18" t="s">
        <v>13</v>
      </c>
      <c r="I18" t="s">
        <v>10</v>
      </c>
      <c r="J18" t="s">
        <v>60</v>
      </c>
      <c r="K18">
        <v>10</v>
      </c>
      <c r="L18">
        <v>7</v>
      </c>
      <c r="M18">
        <v>0</v>
      </c>
      <c r="N18" t="s">
        <v>52</v>
      </c>
    </row>
    <row r="19" spans="1:14">
      <c r="A19" s="70">
        <v>43415</v>
      </c>
      <c r="B19" t="s">
        <v>18</v>
      </c>
      <c r="C19" s="71">
        <v>0.3125</v>
      </c>
      <c r="D19" s="71">
        <v>0.34722222222222227</v>
      </c>
      <c r="E19">
        <v>0.83299999999999996</v>
      </c>
      <c r="F19">
        <v>50</v>
      </c>
      <c r="G19" t="s">
        <v>49</v>
      </c>
      <c r="H19" t="s">
        <v>59</v>
      </c>
      <c r="I19" t="s">
        <v>10</v>
      </c>
      <c r="J19" t="s">
        <v>53</v>
      </c>
      <c r="K19">
        <v>10</v>
      </c>
      <c r="L19">
        <v>10</v>
      </c>
      <c r="M19">
        <v>0</v>
      </c>
      <c r="N19" t="s">
        <v>52</v>
      </c>
    </row>
    <row r="20" spans="1:14">
      <c r="A20" s="70">
        <v>43415</v>
      </c>
      <c r="B20" t="s">
        <v>18</v>
      </c>
      <c r="C20" s="71">
        <v>0.75</v>
      </c>
      <c r="D20" s="71">
        <v>0.78472222222222221</v>
      </c>
      <c r="E20">
        <v>0.83299999999999996</v>
      </c>
      <c r="F20">
        <v>50</v>
      </c>
      <c r="G20" t="s">
        <v>49</v>
      </c>
      <c r="H20" t="s">
        <v>61</v>
      </c>
      <c r="I20" t="s">
        <v>10</v>
      </c>
      <c r="J20" t="s">
        <v>62</v>
      </c>
      <c r="K20">
        <v>10</v>
      </c>
      <c r="L20">
        <v>10</v>
      </c>
      <c r="M20">
        <v>0</v>
      </c>
      <c r="N20" t="s">
        <v>52</v>
      </c>
    </row>
    <row r="21" spans="1:14">
      <c r="A21" s="70">
        <v>43415</v>
      </c>
      <c r="B21" t="s">
        <v>18</v>
      </c>
      <c r="C21" s="71">
        <v>0.79166666666666663</v>
      </c>
      <c r="D21" s="71">
        <v>0.82638888888888884</v>
      </c>
      <c r="E21">
        <v>0.83299999999999996</v>
      </c>
      <c r="F21">
        <v>50</v>
      </c>
      <c r="G21" t="s">
        <v>49</v>
      </c>
      <c r="H21" t="s">
        <v>16</v>
      </c>
      <c r="I21" t="s">
        <v>10</v>
      </c>
      <c r="J21" t="s">
        <v>55</v>
      </c>
      <c r="K21">
        <v>9</v>
      </c>
      <c r="L21">
        <v>8</v>
      </c>
      <c r="M21">
        <v>0</v>
      </c>
      <c r="N21" t="s">
        <v>52</v>
      </c>
    </row>
    <row r="22" spans="1:14">
      <c r="A22" s="70">
        <v>43416</v>
      </c>
      <c r="B22" t="s">
        <v>19</v>
      </c>
      <c r="C22" s="71">
        <v>0.3125</v>
      </c>
      <c r="D22" s="71">
        <v>0.34722222222222227</v>
      </c>
      <c r="E22">
        <v>0.83299999999999996</v>
      </c>
      <c r="F22">
        <v>50</v>
      </c>
      <c r="G22" t="s">
        <v>49</v>
      </c>
      <c r="H22" t="s">
        <v>16</v>
      </c>
      <c r="I22" t="s">
        <v>10</v>
      </c>
      <c r="J22" t="s">
        <v>55</v>
      </c>
      <c r="K22">
        <v>10</v>
      </c>
      <c r="L22">
        <v>9</v>
      </c>
      <c r="M22">
        <v>0</v>
      </c>
      <c r="N22" t="s">
        <v>52</v>
      </c>
    </row>
    <row r="23" spans="1:14">
      <c r="A23" s="70">
        <v>43416</v>
      </c>
      <c r="B23" t="s">
        <v>19</v>
      </c>
      <c r="C23" s="71">
        <v>0.35416666666666669</v>
      </c>
      <c r="D23" s="71">
        <v>0.3888888888888889</v>
      </c>
      <c r="E23">
        <v>0.83299999999999996</v>
      </c>
      <c r="F23">
        <v>50</v>
      </c>
      <c r="G23" t="s">
        <v>49</v>
      </c>
      <c r="H23" t="s">
        <v>16</v>
      </c>
      <c r="I23" t="s">
        <v>10</v>
      </c>
      <c r="J23" t="s">
        <v>54</v>
      </c>
      <c r="K23">
        <v>11</v>
      </c>
      <c r="L23">
        <v>10</v>
      </c>
      <c r="M23">
        <v>0</v>
      </c>
      <c r="N23" t="s">
        <v>52</v>
      </c>
    </row>
    <row r="24" spans="1:14">
      <c r="A24" s="70">
        <v>43416</v>
      </c>
      <c r="B24" t="s">
        <v>19</v>
      </c>
      <c r="C24" s="71">
        <v>0.75</v>
      </c>
      <c r="D24" s="71">
        <v>0.78472222222222221</v>
      </c>
      <c r="E24">
        <v>0.83299999999999996</v>
      </c>
      <c r="F24">
        <v>50</v>
      </c>
      <c r="G24" t="s">
        <v>49</v>
      </c>
      <c r="H24" t="s">
        <v>57</v>
      </c>
      <c r="I24" t="s">
        <v>10</v>
      </c>
      <c r="J24" t="s">
        <v>51</v>
      </c>
      <c r="K24">
        <v>7</v>
      </c>
      <c r="L24">
        <v>7</v>
      </c>
      <c r="M24">
        <v>0</v>
      </c>
      <c r="N24" t="s">
        <v>52</v>
      </c>
    </row>
    <row r="25" spans="1:14">
      <c r="A25" s="70">
        <v>43416</v>
      </c>
      <c r="B25" t="s">
        <v>19</v>
      </c>
      <c r="C25" s="71">
        <v>0.79166666666666663</v>
      </c>
      <c r="D25" s="71">
        <v>0.82638888888888884</v>
      </c>
      <c r="E25">
        <v>0.83299999999999996</v>
      </c>
      <c r="F25">
        <v>50</v>
      </c>
      <c r="G25" t="s">
        <v>49</v>
      </c>
      <c r="H25" t="s">
        <v>59</v>
      </c>
      <c r="I25" t="s">
        <v>10</v>
      </c>
      <c r="J25" t="s">
        <v>53</v>
      </c>
      <c r="K25">
        <v>10</v>
      </c>
      <c r="L25">
        <v>8</v>
      </c>
      <c r="M25">
        <v>10</v>
      </c>
      <c r="N25" t="s">
        <v>52</v>
      </c>
    </row>
    <row r="26" spans="1:14">
      <c r="A26" s="70">
        <v>43417</v>
      </c>
      <c r="B26" t="s">
        <v>20</v>
      </c>
      <c r="C26" s="71">
        <v>0.35416666666666669</v>
      </c>
      <c r="D26" s="71">
        <v>0.3888888888888889</v>
      </c>
      <c r="E26">
        <v>0.83299999999999996</v>
      </c>
      <c r="F26">
        <v>50</v>
      </c>
      <c r="G26" t="s">
        <v>49</v>
      </c>
      <c r="H26" t="s">
        <v>14</v>
      </c>
      <c r="I26" t="s">
        <v>10</v>
      </c>
      <c r="J26" t="s">
        <v>56</v>
      </c>
      <c r="K26">
        <v>6</v>
      </c>
      <c r="L26">
        <v>5</v>
      </c>
      <c r="M26">
        <v>0</v>
      </c>
      <c r="N26" t="s">
        <v>52</v>
      </c>
    </row>
    <row r="27" spans="1:14">
      <c r="A27" s="70">
        <v>43417</v>
      </c>
      <c r="B27" t="s">
        <v>20</v>
      </c>
      <c r="C27" s="71">
        <v>0.75</v>
      </c>
      <c r="D27" s="71">
        <v>0.78472222222222221</v>
      </c>
      <c r="E27">
        <v>0.83299999999999996</v>
      </c>
      <c r="F27">
        <v>50</v>
      </c>
      <c r="G27" t="s">
        <v>49</v>
      </c>
      <c r="H27" t="s">
        <v>13</v>
      </c>
      <c r="I27" t="s">
        <v>10</v>
      </c>
      <c r="J27" t="s">
        <v>60</v>
      </c>
      <c r="K27">
        <v>12</v>
      </c>
      <c r="L27">
        <v>10</v>
      </c>
      <c r="M27">
        <v>0</v>
      </c>
      <c r="N27" t="s">
        <v>52</v>
      </c>
    </row>
    <row r="28" spans="1:14">
      <c r="A28" s="70">
        <v>43417</v>
      </c>
      <c r="B28" t="s">
        <v>20</v>
      </c>
      <c r="C28" s="71">
        <v>0.79166666666666663</v>
      </c>
      <c r="D28" s="71">
        <v>0.82638888888888884</v>
      </c>
      <c r="E28">
        <v>0.83299999999999996</v>
      </c>
      <c r="F28">
        <v>50</v>
      </c>
      <c r="G28" t="s">
        <v>63</v>
      </c>
      <c r="H28" t="s">
        <v>50</v>
      </c>
      <c r="I28" t="s">
        <v>10</v>
      </c>
      <c r="J28" t="s">
        <v>54</v>
      </c>
      <c r="K28">
        <v>0</v>
      </c>
      <c r="L28">
        <v>0</v>
      </c>
      <c r="M28">
        <v>0</v>
      </c>
      <c r="N28" t="s">
        <v>52</v>
      </c>
    </row>
    <row r="29" spans="1:14">
      <c r="A29" s="70">
        <v>43418</v>
      </c>
      <c r="B29" t="s">
        <v>21</v>
      </c>
      <c r="C29" s="71">
        <v>0.75</v>
      </c>
      <c r="D29" s="71">
        <v>0.78472222222222221</v>
      </c>
      <c r="E29">
        <v>0.83299999999999996</v>
      </c>
      <c r="F29">
        <v>50</v>
      </c>
      <c r="G29" t="s">
        <v>49</v>
      </c>
      <c r="H29" t="s">
        <v>16</v>
      </c>
      <c r="I29" t="s">
        <v>10</v>
      </c>
      <c r="J29" t="s">
        <v>55</v>
      </c>
      <c r="K29">
        <v>10</v>
      </c>
      <c r="L29">
        <v>8</v>
      </c>
      <c r="M29">
        <v>6</v>
      </c>
      <c r="N29" t="s">
        <v>52</v>
      </c>
    </row>
    <row r="30" spans="1:14">
      <c r="A30" s="70">
        <v>43418</v>
      </c>
      <c r="B30" t="s">
        <v>21</v>
      </c>
      <c r="C30" s="71">
        <v>0.3125</v>
      </c>
      <c r="D30" s="71">
        <v>0.34722222222222227</v>
      </c>
      <c r="E30">
        <v>0.83299999999999996</v>
      </c>
      <c r="F30">
        <v>50</v>
      </c>
      <c r="G30" t="s">
        <v>49</v>
      </c>
      <c r="H30" t="s">
        <v>12</v>
      </c>
      <c r="I30" t="s">
        <v>10</v>
      </c>
      <c r="J30" t="s">
        <v>56</v>
      </c>
      <c r="K30">
        <v>12</v>
      </c>
      <c r="L30">
        <v>11</v>
      </c>
      <c r="M30">
        <v>0</v>
      </c>
      <c r="N30" t="s">
        <v>52</v>
      </c>
    </row>
    <row r="31" spans="1:14">
      <c r="A31" s="70">
        <v>43418</v>
      </c>
      <c r="B31" t="s">
        <v>21</v>
      </c>
      <c r="C31" s="71">
        <v>0.35416666666666669</v>
      </c>
      <c r="D31" s="71">
        <v>0.3888888888888889</v>
      </c>
      <c r="E31">
        <v>0.83299999999999996</v>
      </c>
      <c r="F31">
        <v>50</v>
      </c>
      <c r="G31" t="s">
        <v>49</v>
      </c>
      <c r="H31" t="s">
        <v>58</v>
      </c>
      <c r="I31" t="s">
        <v>10</v>
      </c>
      <c r="J31" t="s">
        <v>53</v>
      </c>
      <c r="K31">
        <v>9</v>
      </c>
      <c r="L31">
        <v>7</v>
      </c>
      <c r="M31">
        <v>0</v>
      </c>
      <c r="N31" t="s">
        <v>52</v>
      </c>
    </row>
    <row r="32" spans="1:14">
      <c r="A32" s="70">
        <v>43418</v>
      </c>
      <c r="B32" t="s">
        <v>21</v>
      </c>
      <c r="C32" s="71">
        <v>0.79166666666666663</v>
      </c>
      <c r="D32" s="71">
        <v>0.82638888888888884</v>
      </c>
      <c r="E32">
        <v>0.83299999999999996</v>
      </c>
      <c r="F32">
        <v>50</v>
      </c>
      <c r="G32" t="s">
        <v>49</v>
      </c>
      <c r="H32" t="s">
        <v>16</v>
      </c>
      <c r="I32" t="s">
        <v>10</v>
      </c>
      <c r="J32" t="s">
        <v>54</v>
      </c>
      <c r="K32">
        <v>5</v>
      </c>
      <c r="L32">
        <v>4</v>
      </c>
      <c r="M32">
        <v>0</v>
      </c>
      <c r="N32" t="s">
        <v>52</v>
      </c>
    </row>
    <row r="33" spans="1:14">
      <c r="A33" s="70">
        <v>43419</v>
      </c>
      <c r="B33" t="s">
        <v>17</v>
      </c>
      <c r="C33" s="71">
        <v>0.35416666666666669</v>
      </c>
      <c r="D33" s="71">
        <v>0.3888888888888889</v>
      </c>
      <c r="E33">
        <v>0.83299999999999996</v>
      </c>
      <c r="F33">
        <v>50</v>
      </c>
      <c r="G33" t="s">
        <v>49</v>
      </c>
      <c r="H33" t="s">
        <v>50</v>
      </c>
      <c r="I33" t="s">
        <v>10</v>
      </c>
      <c r="J33" t="s">
        <v>51</v>
      </c>
      <c r="K33">
        <v>6</v>
      </c>
      <c r="L33">
        <v>6</v>
      </c>
      <c r="M33">
        <v>0</v>
      </c>
      <c r="N33" t="s">
        <v>52</v>
      </c>
    </row>
    <row r="34" spans="1:14">
      <c r="A34" s="70">
        <v>43419</v>
      </c>
      <c r="B34" t="s">
        <v>17</v>
      </c>
      <c r="C34" s="71">
        <v>0.75</v>
      </c>
      <c r="D34" s="71">
        <v>0.78472222222222221</v>
      </c>
      <c r="E34">
        <v>0.83299999999999996</v>
      </c>
      <c r="F34">
        <v>50</v>
      </c>
      <c r="G34" t="s">
        <v>49</v>
      </c>
      <c r="H34" t="s">
        <v>58</v>
      </c>
      <c r="I34" t="s">
        <v>10</v>
      </c>
      <c r="J34" t="s">
        <v>53</v>
      </c>
      <c r="K34">
        <v>10</v>
      </c>
      <c r="L34">
        <v>10</v>
      </c>
      <c r="M34">
        <v>11</v>
      </c>
      <c r="N34" t="s">
        <v>52</v>
      </c>
    </row>
    <row r="35" spans="1:14">
      <c r="A35" s="70">
        <v>43419</v>
      </c>
      <c r="B35" t="s">
        <v>17</v>
      </c>
      <c r="C35" s="71">
        <v>0.79166666666666663</v>
      </c>
      <c r="D35" s="71">
        <v>0.82638888888888884</v>
      </c>
      <c r="E35">
        <v>0.83299999999999996</v>
      </c>
      <c r="F35">
        <v>50</v>
      </c>
      <c r="G35" t="s">
        <v>49</v>
      </c>
      <c r="H35" t="s">
        <v>13</v>
      </c>
      <c r="I35" t="s">
        <v>10</v>
      </c>
      <c r="J35" t="s">
        <v>56</v>
      </c>
      <c r="K35">
        <v>13</v>
      </c>
      <c r="L35">
        <v>13</v>
      </c>
      <c r="M35">
        <v>0</v>
      </c>
      <c r="N35" t="s">
        <v>52</v>
      </c>
    </row>
    <row r="36" spans="1:14">
      <c r="A36" s="70">
        <v>43422</v>
      </c>
      <c r="B36" t="s">
        <v>18</v>
      </c>
      <c r="C36" s="71">
        <v>0.3125</v>
      </c>
      <c r="D36" s="71">
        <v>0.34722222222222227</v>
      </c>
      <c r="E36">
        <v>0.83299999999999996</v>
      </c>
      <c r="F36">
        <v>50</v>
      </c>
      <c r="G36" t="s">
        <v>49</v>
      </c>
      <c r="H36" t="s">
        <v>58</v>
      </c>
      <c r="I36" t="s">
        <v>10</v>
      </c>
      <c r="J36" t="s">
        <v>53</v>
      </c>
      <c r="K36">
        <v>7</v>
      </c>
      <c r="L36">
        <v>7</v>
      </c>
      <c r="M36">
        <v>0</v>
      </c>
      <c r="N36" t="s">
        <v>52</v>
      </c>
    </row>
    <row r="37" spans="1:14">
      <c r="A37" s="70">
        <v>43422</v>
      </c>
      <c r="B37" t="s">
        <v>18</v>
      </c>
      <c r="C37" s="71">
        <v>0.75</v>
      </c>
      <c r="D37" s="71">
        <v>0.78472222222222221</v>
      </c>
      <c r="E37">
        <v>0.83299999999999996</v>
      </c>
      <c r="F37">
        <v>50</v>
      </c>
      <c r="G37" t="s">
        <v>49</v>
      </c>
      <c r="H37" t="s">
        <v>61</v>
      </c>
      <c r="I37" t="s">
        <v>10</v>
      </c>
      <c r="J37" t="s">
        <v>64</v>
      </c>
      <c r="K37">
        <v>10</v>
      </c>
      <c r="L37">
        <v>8</v>
      </c>
      <c r="M37">
        <v>0</v>
      </c>
      <c r="N37" t="s">
        <v>52</v>
      </c>
    </row>
    <row r="38" spans="1:14">
      <c r="A38" s="70">
        <v>43422</v>
      </c>
      <c r="B38" t="s">
        <v>18</v>
      </c>
      <c r="C38" s="71">
        <v>0.35416666666666669</v>
      </c>
      <c r="D38" s="71">
        <v>0.3888888888888889</v>
      </c>
      <c r="E38">
        <v>0.83299999999999996</v>
      </c>
      <c r="F38">
        <v>50</v>
      </c>
      <c r="G38" t="s">
        <v>49</v>
      </c>
      <c r="H38" t="s">
        <v>14</v>
      </c>
      <c r="I38" t="s">
        <v>10</v>
      </c>
      <c r="J38" t="s">
        <v>51</v>
      </c>
      <c r="K38">
        <v>10</v>
      </c>
      <c r="L38">
        <v>10</v>
      </c>
      <c r="M38">
        <v>0</v>
      </c>
      <c r="N38" t="s">
        <v>52</v>
      </c>
    </row>
    <row r="39" spans="1:14">
      <c r="A39" s="70">
        <v>43423</v>
      </c>
      <c r="B39" t="s">
        <v>19</v>
      </c>
      <c r="C39" s="71">
        <v>0.3125</v>
      </c>
      <c r="D39" s="71">
        <v>0.34722222222222227</v>
      </c>
      <c r="E39">
        <v>0.83299999999999996</v>
      </c>
      <c r="F39">
        <v>50</v>
      </c>
      <c r="G39" t="s">
        <v>49</v>
      </c>
      <c r="H39" t="s">
        <v>16</v>
      </c>
      <c r="I39" t="s">
        <v>10</v>
      </c>
      <c r="J39" t="s">
        <v>55</v>
      </c>
      <c r="K39">
        <v>8</v>
      </c>
      <c r="L39">
        <v>7</v>
      </c>
      <c r="M39">
        <v>0</v>
      </c>
      <c r="N39" t="s">
        <v>52</v>
      </c>
    </row>
    <row r="40" spans="1:14">
      <c r="A40" s="70">
        <v>43423</v>
      </c>
      <c r="B40" t="s">
        <v>19</v>
      </c>
      <c r="C40" s="71">
        <v>0.75</v>
      </c>
      <c r="D40" s="71">
        <v>0.78472222222222221</v>
      </c>
      <c r="E40">
        <v>0.83299999999999996</v>
      </c>
      <c r="F40">
        <v>50</v>
      </c>
      <c r="G40" t="s">
        <v>49</v>
      </c>
      <c r="H40" t="s">
        <v>57</v>
      </c>
      <c r="I40" t="s">
        <v>10</v>
      </c>
      <c r="J40" t="s">
        <v>56</v>
      </c>
      <c r="K40">
        <v>11</v>
      </c>
      <c r="L40">
        <v>11</v>
      </c>
      <c r="M40">
        <v>0</v>
      </c>
      <c r="N40" t="s">
        <v>52</v>
      </c>
    </row>
    <row r="41" spans="1:14">
      <c r="A41" s="70">
        <v>43423</v>
      </c>
      <c r="B41" t="s">
        <v>19</v>
      </c>
      <c r="C41" s="71">
        <v>0.35416666666666669</v>
      </c>
      <c r="D41" s="71">
        <v>0.3888888888888889</v>
      </c>
      <c r="E41">
        <v>0.83299999999999996</v>
      </c>
      <c r="F41">
        <v>50</v>
      </c>
      <c r="G41" t="s">
        <v>49</v>
      </c>
      <c r="H41" t="s">
        <v>16</v>
      </c>
      <c r="I41" t="s">
        <v>10</v>
      </c>
      <c r="J41" t="s">
        <v>54</v>
      </c>
      <c r="K41">
        <v>6</v>
      </c>
      <c r="L41">
        <v>6</v>
      </c>
      <c r="M41">
        <v>0</v>
      </c>
      <c r="N41" t="s">
        <v>52</v>
      </c>
    </row>
    <row r="42" spans="1:14">
      <c r="A42" s="70">
        <v>43423</v>
      </c>
      <c r="B42" t="s">
        <v>19</v>
      </c>
      <c r="C42" s="71">
        <v>0.79166666666666663</v>
      </c>
      <c r="D42" s="71">
        <v>0.82638888888888884</v>
      </c>
      <c r="E42">
        <v>0.83299999999999996</v>
      </c>
      <c r="F42">
        <v>50</v>
      </c>
      <c r="G42" t="s">
        <v>49</v>
      </c>
      <c r="H42" t="s">
        <v>59</v>
      </c>
      <c r="I42" t="s">
        <v>10</v>
      </c>
      <c r="J42" t="s">
        <v>53</v>
      </c>
      <c r="K42">
        <v>10</v>
      </c>
      <c r="L42">
        <v>10</v>
      </c>
      <c r="M42">
        <v>3</v>
      </c>
      <c r="N42" t="s">
        <v>52</v>
      </c>
    </row>
    <row r="43" spans="1:14">
      <c r="A43" s="70">
        <v>43424</v>
      </c>
      <c r="B43" t="s">
        <v>20</v>
      </c>
      <c r="C43" s="71">
        <v>0.3125</v>
      </c>
      <c r="D43" s="71">
        <v>0.34722222222222227</v>
      </c>
      <c r="E43">
        <v>0.83299999999999996</v>
      </c>
      <c r="F43">
        <v>50</v>
      </c>
      <c r="G43" t="s">
        <v>49</v>
      </c>
      <c r="H43" t="s">
        <v>12</v>
      </c>
      <c r="I43" t="s">
        <v>10</v>
      </c>
      <c r="J43" t="s">
        <v>56</v>
      </c>
      <c r="K43">
        <v>13</v>
      </c>
      <c r="L43">
        <v>13</v>
      </c>
      <c r="M43">
        <v>0</v>
      </c>
      <c r="N43" t="s">
        <v>52</v>
      </c>
    </row>
    <row r="44" spans="1:14">
      <c r="A44" s="70">
        <v>43424</v>
      </c>
      <c r="B44" t="s">
        <v>20</v>
      </c>
      <c r="C44" s="71">
        <v>0.75</v>
      </c>
      <c r="D44" s="71">
        <v>0.78472222222222221</v>
      </c>
      <c r="E44">
        <v>0.83299999999999996</v>
      </c>
      <c r="F44">
        <v>50</v>
      </c>
      <c r="G44" t="s">
        <v>49</v>
      </c>
      <c r="H44" t="s">
        <v>50</v>
      </c>
      <c r="I44" t="s">
        <v>10</v>
      </c>
      <c r="J44" t="s">
        <v>51</v>
      </c>
      <c r="K44">
        <v>12</v>
      </c>
      <c r="L44">
        <v>12</v>
      </c>
      <c r="M44">
        <v>1</v>
      </c>
      <c r="N44" t="s">
        <v>52</v>
      </c>
    </row>
    <row r="45" spans="1:14">
      <c r="A45" s="70">
        <v>43424</v>
      </c>
      <c r="B45" t="s">
        <v>20</v>
      </c>
      <c r="C45" s="71">
        <v>0.79166666666666663</v>
      </c>
      <c r="D45" s="71">
        <v>0.82638888888888884</v>
      </c>
      <c r="E45">
        <v>0.83299999999999996</v>
      </c>
      <c r="F45">
        <v>50</v>
      </c>
      <c r="G45" t="s">
        <v>49</v>
      </c>
      <c r="H45" t="s">
        <v>16</v>
      </c>
      <c r="I45" t="s">
        <v>10</v>
      </c>
      <c r="J45" t="s">
        <v>55</v>
      </c>
      <c r="K45">
        <v>6</v>
      </c>
      <c r="L45">
        <v>5</v>
      </c>
      <c r="M45">
        <v>0</v>
      </c>
      <c r="N45" t="s">
        <v>52</v>
      </c>
    </row>
    <row r="46" spans="1:14">
      <c r="A46" s="70">
        <v>43424</v>
      </c>
      <c r="B46" t="s">
        <v>20</v>
      </c>
      <c r="C46" s="71">
        <v>0.35416666666666669</v>
      </c>
      <c r="D46" s="71">
        <v>0.3888888888888889</v>
      </c>
      <c r="E46">
        <v>0.83299999999999996</v>
      </c>
      <c r="F46">
        <v>50</v>
      </c>
      <c r="G46" t="s">
        <v>49</v>
      </c>
      <c r="H46" t="s">
        <v>59</v>
      </c>
      <c r="I46" t="s">
        <v>10</v>
      </c>
      <c r="J46" t="s">
        <v>53</v>
      </c>
      <c r="K46">
        <v>10</v>
      </c>
      <c r="L46">
        <v>7</v>
      </c>
      <c r="M46">
        <v>1</v>
      </c>
      <c r="N46" t="s">
        <v>52</v>
      </c>
    </row>
    <row r="47" spans="1:14">
      <c r="A47" s="70">
        <v>43425</v>
      </c>
      <c r="B47" t="s">
        <v>21</v>
      </c>
      <c r="C47" s="71">
        <v>0.77083333333333337</v>
      </c>
      <c r="D47" s="71">
        <v>0.80555555555555547</v>
      </c>
      <c r="E47">
        <v>0.83299999999999996</v>
      </c>
      <c r="F47">
        <v>50</v>
      </c>
      <c r="G47" t="s">
        <v>49</v>
      </c>
      <c r="H47" t="s">
        <v>16</v>
      </c>
      <c r="I47" t="s">
        <v>10</v>
      </c>
      <c r="J47" t="s">
        <v>54</v>
      </c>
      <c r="K47">
        <v>13</v>
      </c>
      <c r="L47">
        <v>12</v>
      </c>
      <c r="M47">
        <v>0</v>
      </c>
      <c r="N47" t="s">
        <v>52</v>
      </c>
    </row>
    <row r="48" spans="1:14">
      <c r="A48" s="70">
        <v>43425</v>
      </c>
      <c r="B48" t="s">
        <v>21</v>
      </c>
      <c r="C48" s="71">
        <v>0.3125</v>
      </c>
      <c r="D48" s="71">
        <v>0.34722222222222227</v>
      </c>
      <c r="E48">
        <v>0.83299999999999996</v>
      </c>
      <c r="F48">
        <v>50</v>
      </c>
      <c r="G48" t="s">
        <v>49</v>
      </c>
      <c r="H48" t="s">
        <v>58</v>
      </c>
      <c r="I48" t="s">
        <v>10</v>
      </c>
      <c r="J48" t="s">
        <v>53</v>
      </c>
      <c r="K48">
        <v>10</v>
      </c>
      <c r="L48">
        <v>6</v>
      </c>
      <c r="M48">
        <v>1</v>
      </c>
      <c r="N48" t="s">
        <v>52</v>
      </c>
    </row>
    <row r="49" spans="1:14">
      <c r="A49" s="70">
        <v>43425</v>
      </c>
      <c r="B49" t="s">
        <v>21</v>
      </c>
      <c r="C49" s="71">
        <v>0.72916666666666663</v>
      </c>
      <c r="D49" s="71">
        <v>0.76388888888888884</v>
      </c>
      <c r="E49">
        <v>0.83299999999999996</v>
      </c>
      <c r="F49">
        <v>50</v>
      </c>
      <c r="G49" t="s">
        <v>49</v>
      </c>
      <c r="H49" t="s">
        <v>16</v>
      </c>
      <c r="I49" t="s">
        <v>10</v>
      </c>
      <c r="J49" t="s">
        <v>55</v>
      </c>
      <c r="K49">
        <v>10</v>
      </c>
      <c r="L49">
        <v>10</v>
      </c>
      <c r="M49">
        <v>1</v>
      </c>
      <c r="N49" t="s">
        <v>52</v>
      </c>
    </row>
    <row r="50" spans="1:14">
      <c r="A50" s="70">
        <v>43426</v>
      </c>
      <c r="B50" t="s">
        <v>17</v>
      </c>
      <c r="C50" s="71">
        <v>0.35416666666666669</v>
      </c>
      <c r="D50" s="71">
        <v>0.3888888888888889</v>
      </c>
      <c r="E50">
        <v>0.83299999999999996</v>
      </c>
      <c r="F50">
        <v>50</v>
      </c>
      <c r="G50" t="s">
        <v>49</v>
      </c>
      <c r="H50" t="s">
        <v>50</v>
      </c>
      <c r="I50" t="s">
        <v>10</v>
      </c>
      <c r="J50" t="s">
        <v>56</v>
      </c>
      <c r="K50">
        <v>15</v>
      </c>
      <c r="L50">
        <v>10</v>
      </c>
      <c r="M50">
        <v>0</v>
      </c>
      <c r="N50" t="s">
        <v>52</v>
      </c>
    </row>
    <row r="51" spans="1:14">
      <c r="A51" s="70">
        <v>43426</v>
      </c>
      <c r="B51" t="s">
        <v>17</v>
      </c>
      <c r="C51" s="71">
        <v>0.72916666666666663</v>
      </c>
      <c r="D51" s="71">
        <v>0.76388888888888884</v>
      </c>
      <c r="E51">
        <v>0.83299999999999996</v>
      </c>
      <c r="F51">
        <v>50</v>
      </c>
      <c r="G51" t="s">
        <v>49</v>
      </c>
      <c r="H51" t="s">
        <v>58</v>
      </c>
      <c r="I51" t="s">
        <v>10</v>
      </c>
      <c r="J51" t="s">
        <v>53</v>
      </c>
      <c r="K51">
        <v>10</v>
      </c>
      <c r="L51">
        <v>7</v>
      </c>
      <c r="M51">
        <v>11</v>
      </c>
      <c r="N51" t="s">
        <v>52</v>
      </c>
    </row>
    <row r="52" spans="1:14">
      <c r="A52" s="70">
        <v>43426</v>
      </c>
      <c r="B52" t="s">
        <v>17</v>
      </c>
      <c r="C52" s="71">
        <v>0.77083333333333337</v>
      </c>
      <c r="D52" s="71">
        <v>0.80555555555555547</v>
      </c>
      <c r="E52">
        <v>0.83299999999999996</v>
      </c>
      <c r="F52">
        <v>50</v>
      </c>
      <c r="G52" t="s">
        <v>49</v>
      </c>
      <c r="H52" t="s">
        <v>13</v>
      </c>
      <c r="I52" t="s">
        <v>10</v>
      </c>
      <c r="J52" t="s">
        <v>60</v>
      </c>
      <c r="K52">
        <v>15</v>
      </c>
      <c r="L52">
        <v>10</v>
      </c>
      <c r="M52">
        <v>0</v>
      </c>
      <c r="N52" t="s">
        <v>52</v>
      </c>
    </row>
    <row r="53" spans="1:14">
      <c r="A53" s="70">
        <v>43429</v>
      </c>
      <c r="B53" t="s">
        <v>18</v>
      </c>
      <c r="C53" s="71">
        <v>0.3125</v>
      </c>
      <c r="D53" s="71">
        <v>0.34722222222222227</v>
      </c>
      <c r="E53">
        <v>0.83299999999999996</v>
      </c>
      <c r="F53">
        <v>50</v>
      </c>
      <c r="G53" t="s">
        <v>63</v>
      </c>
      <c r="H53" t="s">
        <v>14</v>
      </c>
      <c r="I53" t="s">
        <v>10</v>
      </c>
      <c r="J53" t="s">
        <v>51</v>
      </c>
      <c r="K53">
        <v>0</v>
      </c>
      <c r="L53">
        <v>0</v>
      </c>
      <c r="M53">
        <v>0</v>
      </c>
      <c r="N53" t="s">
        <v>52</v>
      </c>
    </row>
    <row r="54" spans="1:14">
      <c r="A54" s="70">
        <v>43429</v>
      </c>
      <c r="B54" t="s">
        <v>18</v>
      </c>
      <c r="C54" s="71">
        <v>0.72916666666666663</v>
      </c>
      <c r="D54" s="71">
        <v>0.76388888888888884</v>
      </c>
      <c r="E54">
        <v>0.83299999999999996</v>
      </c>
      <c r="F54">
        <v>50</v>
      </c>
      <c r="G54" t="s">
        <v>49</v>
      </c>
      <c r="H54" t="s">
        <v>16</v>
      </c>
      <c r="I54" t="s">
        <v>10</v>
      </c>
      <c r="J54" t="s">
        <v>55</v>
      </c>
      <c r="K54">
        <v>8</v>
      </c>
      <c r="L54">
        <v>8</v>
      </c>
      <c r="M54">
        <v>0</v>
      </c>
      <c r="N54" t="s">
        <v>52</v>
      </c>
    </row>
    <row r="55" spans="1:14">
      <c r="A55" s="70">
        <v>43429</v>
      </c>
      <c r="B55" t="s">
        <v>18</v>
      </c>
      <c r="C55" s="71">
        <v>0.35416666666666669</v>
      </c>
      <c r="D55" s="71">
        <v>0.3888888888888889</v>
      </c>
      <c r="E55">
        <v>0.83299999999999996</v>
      </c>
      <c r="F55">
        <v>50</v>
      </c>
      <c r="G55" t="s">
        <v>49</v>
      </c>
      <c r="H55" t="s">
        <v>59</v>
      </c>
      <c r="I55" t="s">
        <v>10</v>
      </c>
      <c r="J55" t="s">
        <v>53</v>
      </c>
      <c r="K55">
        <v>9</v>
      </c>
      <c r="L55">
        <v>9</v>
      </c>
      <c r="M55">
        <v>2</v>
      </c>
      <c r="N55" t="s">
        <v>52</v>
      </c>
    </row>
    <row r="56" spans="1:14">
      <c r="A56" s="70">
        <v>43429</v>
      </c>
      <c r="B56" t="s">
        <v>18</v>
      </c>
      <c r="C56" s="71">
        <v>0.77083333333333337</v>
      </c>
      <c r="D56" s="71">
        <v>0.80555555555555547</v>
      </c>
      <c r="E56">
        <v>0.83299999999999996</v>
      </c>
      <c r="F56">
        <v>50</v>
      </c>
      <c r="G56" t="s">
        <v>49</v>
      </c>
      <c r="H56" t="s">
        <v>13</v>
      </c>
      <c r="I56" t="s">
        <v>10</v>
      </c>
      <c r="J56" t="s">
        <v>60</v>
      </c>
      <c r="K56">
        <v>15</v>
      </c>
      <c r="L56">
        <v>12</v>
      </c>
      <c r="M56">
        <v>0</v>
      </c>
      <c r="N56" t="s">
        <v>52</v>
      </c>
    </row>
    <row r="57" spans="1:14">
      <c r="A57" s="70">
        <v>43430</v>
      </c>
      <c r="B57" t="s">
        <v>19</v>
      </c>
      <c r="C57" s="71">
        <v>0.3125</v>
      </c>
      <c r="D57" s="71">
        <v>0.34722222222222227</v>
      </c>
      <c r="E57">
        <v>0.83299999999999996</v>
      </c>
      <c r="F57">
        <v>50</v>
      </c>
      <c r="G57" t="s">
        <v>49</v>
      </c>
      <c r="H57" t="s">
        <v>16</v>
      </c>
      <c r="I57" t="s">
        <v>10</v>
      </c>
      <c r="J57" t="s">
        <v>55</v>
      </c>
      <c r="K57">
        <v>10</v>
      </c>
      <c r="L57">
        <v>7</v>
      </c>
      <c r="M57">
        <v>2</v>
      </c>
      <c r="N57" t="s">
        <v>52</v>
      </c>
    </row>
    <row r="58" spans="1:14">
      <c r="A58" s="70">
        <v>43430</v>
      </c>
      <c r="B58" t="s">
        <v>19</v>
      </c>
      <c r="C58" s="71">
        <v>0.75</v>
      </c>
      <c r="D58" s="71">
        <v>0.78472222222222221</v>
      </c>
      <c r="E58">
        <v>0.83299999999999996</v>
      </c>
      <c r="F58">
        <v>50</v>
      </c>
      <c r="G58" t="s">
        <v>49</v>
      </c>
      <c r="H58" t="s">
        <v>57</v>
      </c>
      <c r="I58" t="s">
        <v>10</v>
      </c>
      <c r="J58" t="s">
        <v>56</v>
      </c>
      <c r="K58">
        <v>11</v>
      </c>
      <c r="L58">
        <v>11</v>
      </c>
      <c r="M58">
        <v>0</v>
      </c>
      <c r="N58" t="s">
        <v>52</v>
      </c>
    </row>
    <row r="59" spans="1:14">
      <c r="A59" s="70">
        <v>43430</v>
      </c>
      <c r="B59" t="s">
        <v>19</v>
      </c>
      <c r="C59" s="71">
        <v>0.79166666666666663</v>
      </c>
      <c r="D59" s="71">
        <v>0.82638888888888884</v>
      </c>
      <c r="E59">
        <v>0.83299999999999996</v>
      </c>
      <c r="F59">
        <v>50</v>
      </c>
      <c r="G59" t="s">
        <v>49</v>
      </c>
      <c r="H59" t="s">
        <v>59</v>
      </c>
      <c r="I59" t="s">
        <v>10</v>
      </c>
      <c r="J59" t="s">
        <v>53</v>
      </c>
      <c r="K59">
        <v>10</v>
      </c>
      <c r="L59">
        <v>9</v>
      </c>
      <c r="M59">
        <v>7</v>
      </c>
      <c r="N59" t="s">
        <v>52</v>
      </c>
    </row>
    <row r="60" spans="1:14">
      <c r="A60" s="70">
        <v>43430</v>
      </c>
      <c r="B60" t="s">
        <v>19</v>
      </c>
      <c r="C60" s="71">
        <v>0.35416666666666669</v>
      </c>
      <c r="D60" s="71">
        <v>0.3888888888888889</v>
      </c>
      <c r="E60">
        <v>0.83299999999999996</v>
      </c>
      <c r="F60">
        <v>50</v>
      </c>
      <c r="G60" t="s">
        <v>49</v>
      </c>
      <c r="H60" t="s">
        <v>16</v>
      </c>
      <c r="I60" t="s">
        <v>10</v>
      </c>
      <c r="J60" t="s">
        <v>54</v>
      </c>
      <c r="K60">
        <v>9</v>
      </c>
      <c r="L60">
        <v>8</v>
      </c>
      <c r="M60">
        <v>0</v>
      </c>
      <c r="N60" t="s">
        <v>52</v>
      </c>
    </row>
    <row r="61" spans="1:14">
      <c r="A61" s="70">
        <v>43431</v>
      </c>
      <c r="B61" t="s">
        <v>20</v>
      </c>
      <c r="C61" s="71">
        <v>0.3125</v>
      </c>
      <c r="D61" s="71">
        <v>0.34722222222222227</v>
      </c>
      <c r="E61">
        <v>0.83299999999999996</v>
      </c>
      <c r="F61">
        <v>50</v>
      </c>
      <c r="G61" t="s">
        <v>49</v>
      </c>
      <c r="H61" t="s">
        <v>12</v>
      </c>
      <c r="I61" t="s">
        <v>10</v>
      </c>
      <c r="J61" t="s">
        <v>56</v>
      </c>
      <c r="K61">
        <v>9</v>
      </c>
      <c r="L61">
        <v>9</v>
      </c>
      <c r="M61">
        <v>0</v>
      </c>
      <c r="N61" t="s">
        <v>52</v>
      </c>
    </row>
    <row r="62" spans="1:14">
      <c r="A62" s="70">
        <v>43431</v>
      </c>
      <c r="B62" t="s">
        <v>20</v>
      </c>
      <c r="C62" s="71">
        <v>0.75</v>
      </c>
      <c r="D62" s="71">
        <v>0.78472222222222221</v>
      </c>
      <c r="E62">
        <v>0.83299999999999996</v>
      </c>
      <c r="F62">
        <v>50</v>
      </c>
      <c r="G62" t="s">
        <v>49</v>
      </c>
      <c r="H62" t="s">
        <v>50</v>
      </c>
      <c r="I62" t="s">
        <v>10</v>
      </c>
      <c r="J62" t="s">
        <v>51</v>
      </c>
      <c r="K62">
        <v>10</v>
      </c>
      <c r="L62">
        <v>7</v>
      </c>
      <c r="M62">
        <v>0</v>
      </c>
      <c r="N62" t="s">
        <v>52</v>
      </c>
    </row>
    <row r="63" spans="1:14">
      <c r="A63" s="70">
        <v>43431</v>
      </c>
      <c r="B63" t="s">
        <v>20</v>
      </c>
      <c r="C63" s="71">
        <v>0.35416666666666669</v>
      </c>
      <c r="D63" s="71">
        <v>0.3888888888888889</v>
      </c>
      <c r="E63">
        <v>0.83299999999999996</v>
      </c>
      <c r="F63">
        <v>50</v>
      </c>
      <c r="G63" t="s">
        <v>49</v>
      </c>
      <c r="H63" t="s">
        <v>58</v>
      </c>
      <c r="I63" t="s">
        <v>10</v>
      </c>
      <c r="J63" t="s">
        <v>53</v>
      </c>
      <c r="K63">
        <v>9</v>
      </c>
      <c r="L63">
        <v>9</v>
      </c>
      <c r="M63">
        <v>6</v>
      </c>
      <c r="N63" t="s">
        <v>52</v>
      </c>
    </row>
    <row r="64" spans="1:14">
      <c r="A64" s="70">
        <v>43432</v>
      </c>
      <c r="B64" t="s">
        <v>21</v>
      </c>
      <c r="C64" s="71">
        <v>0.77083333333333337</v>
      </c>
      <c r="D64" s="71">
        <v>0.80555555555555547</v>
      </c>
      <c r="E64">
        <v>0.83299999999999996</v>
      </c>
      <c r="F64">
        <v>50</v>
      </c>
      <c r="G64" t="s">
        <v>49</v>
      </c>
      <c r="H64" t="s">
        <v>16</v>
      </c>
      <c r="I64" t="s">
        <v>10</v>
      </c>
      <c r="J64" t="s">
        <v>54</v>
      </c>
      <c r="K64">
        <v>15</v>
      </c>
      <c r="L64">
        <v>13</v>
      </c>
      <c r="M64">
        <v>3</v>
      </c>
      <c r="N64" t="s">
        <v>52</v>
      </c>
    </row>
    <row r="65" spans="1:14">
      <c r="A65" s="70">
        <v>43432</v>
      </c>
      <c r="B65" t="s">
        <v>21</v>
      </c>
      <c r="C65" s="71">
        <v>0.3125</v>
      </c>
      <c r="D65" s="71">
        <v>0.34722222222222227</v>
      </c>
      <c r="E65">
        <v>0.83299999999999996</v>
      </c>
      <c r="F65">
        <v>50</v>
      </c>
      <c r="G65" t="s">
        <v>49</v>
      </c>
      <c r="H65" t="s">
        <v>58</v>
      </c>
      <c r="I65" t="s">
        <v>10</v>
      </c>
      <c r="J65" t="s">
        <v>53</v>
      </c>
      <c r="K65">
        <v>10</v>
      </c>
      <c r="L65">
        <v>8</v>
      </c>
      <c r="M65">
        <v>2</v>
      </c>
      <c r="N65" t="s">
        <v>52</v>
      </c>
    </row>
    <row r="66" spans="1:14">
      <c r="A66" s="70">
        <v>43432</v>
      </c>
      <c r="B66" t="s">
        <v>21</v>
      </c>
      <c r="C66" s="71">
        <v>0.72916666666666663</v>
      </c>
      <c r="D66" s="71">
        <v>0.76388888888888884</v>
      </c>
      <c r="E66">
        <v>0.83299999999999996</v>
      </c>
      <c r="F66">
        <v>50</v>
      </c>
      <c r="G66" t="s">
        <v>49</v>
      </c>
      <c r="H66" t="s">
        <v>16</v>
      </c>
      <c r="I66" t="s">
        <v>10</v>
      </c>
      <c r="J66" t="s">
        <v>55</v>
      </c>
      <c r="K66">
        <v>10</v>
      </c>
      <c r="L66">
        <v>10</v>
      </c>
      <c r="M66">
        <v>3</v>
      </c>
      <c r="N66" t="s">
        <v>52</v>
      </c>
    </row>
    <row r="67" spans="1:14">
      <c r="A67" s="70">
        <v>43433</v>
      </c>
      <c r="B67" t="s">
        <v>17</v>
      </c>
      <c r="C67" s="71">
        <v>0.35416666666666669</v>
      </c>
      <c r="D67" s="71">
        <v>0.3888888888888889</v>
      </c>
      <c r="E67">
        <v>0.83299999999999996</v>
      </c>
      <c r="F67">
        <v>50</v>
      </c>
      <c r="G67" t="s">
        <v>49</v>
      </c>
      <c r="H67" t="s">
        <v>50</v>
      </c>
      <c r="I67" t="s">
        <v>10</v>
      </c>
      <c r="J67" t="s">
        <v>56</v>
      </c>
      <c r="K67">
        <v>15</v>
      </c>
      <c r="L67">
        <v>11</v>
      </c>
      <c r="M67">
        <v>0</v>
      </c>
      <c r="N67" t="s">
        <v>52</v>
      </c>
    </row>
    <row r="68" spans="1:14">
      <c r="A68" s="70">
        <v>43433</v>
      </c>
      <c r="B68" t="s">
        <v>17</v>
      </c>
      <c r="C68" s="71">
        <v>0.72916666666666663</v>
      </c>
      <c r="D68" s="71">
        <v>0.76388888888888884</v>
      </c>
      <c r="E68">
        <v>0.83299999999999996</v>
      </c>
      <c r="F68">
        <v>50</v>
      </c>
      <c r="G68" t="s">
        <v>49</v>
      </c>
      <c r="H68" t="s">
        <v>58</v>
      </c>
      <c r="I68" t="s">
        <v>10</v>
      </c>
      <c r="J68" t="s">
        <v>53</v>
      </c>
      <c r="K68">
        <v>10</v>
      </c>
      <c r="L68">
        <v>9</v>
      </c>
      <c r="M68">
        <v>15</v>
      </c>
      <c r="N68" t="s">
        <v>52</v>
      </c>
    </row>
    <row r="69" spans="1:14">
      <c r="A69" s="70">
        <v>43433</v>
      </c>
      <c r="B69" t="s">
        <v>17</v>
      </c>
      <c r="C69" s="71">
        <v>0.77083333333333337</v>
      </c>
      <c r="D69" s="71">
        <v>0.80555555555555547</v>
      </c>
      <c r="E69">
        <v>0.83299999999999996</v>
      </c>
      <c r="F69">
        <v>50</v>
      </c>
      <c r="G69" t="s">
        <v>49</v>
      </c>
      <c r="H69" t="s">
        <v>13</v>
      </c>
      <c r="I69" t="s">
        <v>10</v>
      </c>
      <c r="J69" t="s">
        <v>51</v>
      </c>
      <c r="K69">
        <v>12</v>
      </c>
      <c r="L69">
        <v>8</v>
      </c>
      <c r="M69">
        <v>4</v>
      </c>
      <c r="N69" t="s">
        <v>52</v>
      </c>
    </row>
    <row r="70" spans="1:14">
      <c r="A70" s="70">
        <v>43433</v>
      </c>
      <c r="B70" t="s">
        <v>17</v>
      </c>
      <c r="C70" s="71">
        <v>0.3125</v>
      </c>
      <c r="D70" s="71">
        <v>0.34722222222222227</v>
      </c>
      <c r="E70">
        <v>0.83299999999999996</v>
      </c>
      <c r="F70">
        <v>50</v>
      </c>
      <c r="G70" t="s">
        <v>49</v>
      </c>
      <c r="H70" t="s">
        <v>50</v>
      </c>
      <c r="I70" t="s">
        <v>10</v>
      </c>
      <c r="J70" t="s">
        <v>65</v>
      </c>
      <c r="K70">
        <v>10</v>
      </c>
      <c r="L70">
        <v>6</v>
      </c>
      <c r="M70">
        <v>0</v>
      </c>
      <c r="N70" t="s">
        <v>52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9</vt:i4>
      </vt:variant>
      <vt:variant>
        <vt:lpstr>טווחים בעלי שם</vt:lpstr>
      </vt:variant>
      <vt:variant>
        <vt:i4>2</vt:i4>
      </vt:variant>
    </vt:vector>
  </HeadingPairs>
  <TitlesOfParts>
    <vt:vector size="11" baseType="lpstr">
      <vt:lpstr>ריכוז שעות</vt:lpstr>
      <vt:lpstr>דוח מרכז לאישור מנהל</vt:lpstr>
      <vt:lpstr>סיכום אימונים ומכירות מנויים</vt:lpstr>
      <vt:lpstr>חילנט</vt:lpstr>
      <vt:lpstr>חיוב יזם</vt:lpstr>
      <vt:lpstr>גיליון2</vt:lpstr>
      <vt:lpstr>גיליון1</vt:lpstr>
      <vt:lpstr>חגים</vt:lpstr>
      <vt:lpstr>דוח אימוני סטודיו</vt:lpstr>
      <vt:lpstr>'דוח מרכז לאישור מנהל'!WPrint_Area_W</vt:lpstr>
      <vt:lpstr>'חיוב יזם'!WPrint_Area_W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מנהל חדר כושר</dc:creator>
  <cp:lastModifiedBy>Street Mall Accountant</cp:lastModifiedBy>
  <cp:lastPrinted>2025-12-10T12:42:06Z</cp:lastPrinted>
  <dcterms:created xsi:type="dcterms:W3CDTF">2018-12-05T09:34:42Z</dcterms:created>
  <dcterms:modified xsi:type="dcterms:W3CDTF">2026-08-05T07:37:36Z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