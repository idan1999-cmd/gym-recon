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0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idanwekser/Downloads/דו״חות/יולי 2026/"/>
    </mc:Choice>
  </mc:AlternateContent>
  <xr:revisionPtr revIDLastSave="0" documentId="13_ncr:1_{F0C575D9-2502-1043-B66D-3CF9D729D4C3}" xr6:coauthVersionLast="47" xr6:coauthVersionMax="47" xr10:uidLastSave="{00000000-0000-0000-0000-000000000000}"/>
  <bookViews>
    <workbookView xWindow="-120" yWindow="640" windowWidth="29040" windowHeight="15840" tabRatio="645" activeTab="4" xr2:uid="{00000000-000D-0000-FFFF-FFFF00000000}"/>
  </bookViews>
  <sheets>
    <sheet name="ריכוז שעות" sheetId="1" r:id="rId1"/>
    <sheet name="דוח מרכז לאישור מנהל" sheetId="5" r:id="rId2"/>
    <sheet name="סיכום אמוני סטודיו וקבוצה" sheetId="8" r:id="rId3"/>
    <sheet name="חילנט" sheetId="7" r:id="rId4"/>
    <sheet name="חיוב יזם" sheetId="11" r:id="rId5"/>
    <sheet name="מכירות" sheetId="15" r:id="rId6"/>
    <sheet name="גיליון2" sheetId="13" state="hidden" r:id="rId7"/>
    <sheet name="גיליון1" sheetId="12" state="hidden" r:id="rId8"/>
    <sheet name="חגים" sheetId="9" r:id="rId9"/>
    <sheet name="דוח אימוני סטודיו" sheetId="6" state="hidden" r:id="rId10"/>
  </sheets>
  <externalReferences>
    <externalReference r:id="rId11"/>
  </externalReferences>
  <definedNames>
    <definedName name="_xlnm.Print_Area" localSheetId="1">'דוח מרכז לאישור מנהל'!$A$45:$D$56</definedName>
    <definedName name="_xlnm.Print_Area" localSheetId="4">'חיוב יזם'!$C$2:$H$20</definedName>
  </definedNames>
  <calcPr calcId="191029"/>
  <pivotCaches>
    <pivotCache cacheId="84" r:id="rId12"/>
    <pivotCache cacheId="85" r:id="rId1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61" i="5" l="1"/>
  <c r="F14" i="11"/>
  <c r="A36" i="8"/>
  <c r="P36" i="8"/>
  <c r="O36" i="8"/>
  <c r="N36" i="8"/>
  <c r="M36" i="8"/>
  <c r="L36" i="8"/>
  <c r="K36" i="8"/>
  <c r="J36" i="8"/>
  <c r="I36" i="8"/>
  <c r="F36" i="8"/>
  <c r="E36" i="8"/>
  <c r="C36" i="8"/>
  <c r="C31" i="5"/>
  <c r="F13" i="11"/>
  <c r="S36" i="8" l="1"/>
  <c r="B61" i="8" l="1"/>
  <c r="C61" i="8"/>
  <c r="D61" i="8"/>
  <c r="E61" i="8"/>
  <c r="F61" i="8"/>
  <c r="G61" i="8"/>
  <c r="H61" i="8"/>
  <c r="I61" i="8"/>
  <c r="J61" i="8"/>
  <c r="K61" i="8"/>
  <c r="L61" i="8"/>
  <c r="M61" i="8"/>
  <c r="F10" i="7"/>
  <c r="N61" i="8" l="1"/>
  <c r="J31" i="5"/>
  <c r="I31" i="5"/>
  <c r="H31" i="5"/>
  <c r="E31" i="5"/>
  <c r="D31" i="5"/>
  <c r="D53" i="5" l="1"/>
  <c r="D62" i="5"/>
  <c r="O28" i="8" l="1"/>
  <c r="O22" i="8"/>
  <c r="O25" i="8"/>
  <c r="N30" i="8"/>
  <c r="P30" i="8"/>
  <c r="K6" i="5" l="1"/>
  <c r="J6" i="5"/>
  <c r="E6" i="5"/>
  <c r="C6" i="5"/>
  <c r="C26" i="5" l="1"/>
  <c r="D6" i="5"/>
  <c r="N10" i="7"/>
  <c r="M10" i="7"/>
  <c r="L10" i="7"/>
  <c r="K10" i="7"/>
  <c r="J10" i="7"/>
  <c r="I10" i="7"/>
  <c r="H10" i="7"/>
  <c r="G10" i="7"/>
  <c r="K10" i="15" l="1"/>
  <c r="J10" i="15"/>
  <c r="I10" i="15"/>
  <c r="G10" i="15"/>
  <c r="E10" i="15"/>
  <c r="C10" i="15"/>
  <c r="M9" i="15"/>
  <c r="N9" i="15" s="1"/>
  <c r="M8" i="15"/>
  <c r="N8" i="15" s="1"/>
  <c r="M7" i="15"/>
  <c r="N7" i="15" s="1"/>
  <c r="M6" i="15"/>
  <c r="N6" i="15" s="1"/>
  <c r="M5" i="15"/>
  <c r="N5" i="15" s="1"/>
  <c r="M4" i="15"/>
  <c r="N4" i="15" s="1"/>
  <c r="O27" i="8"/>
  <c r="I6" i="5" s="1"/>
  <c r="O26" i="8"/>
  <c r="H6" i="5" s="1"/>
  <c r="O24" i="8"/>
  <c r="G6" i="5" s="1"/>
  <c r="O20" i="8"/>
  <c r="F6" i="5" s="1"/>
  <c r="F64" i="5"/>
  <c r="N10" i="15" l="1"/>
  <c r="M10" i="15"/>
  <c r="M45" i="8"/>
  <c r="L45" i="8"/>
  <c r="K45" i="8"/>
  <c r="J45" i="8"/>
  <c r="I45" i="8"/>
  <c r="H45" i="8"/>
  <c r="G45" i="8"/>
  <c r="F45" i="8"/>
  <c r="E45" i="8"/>
  <c r="D45" i="8"/>
  <c r="C45" i="8"/>
  <c r="B45" i="8"/>
  <c r="B44" i="8"/>
  <c r="C44" i="8"/>
  <c r="D44" i="8"/>
  <c r="E44" i="8"/>
  <c r="F44" i="8"/>
  <c r="G44" i="8"/>
  <c r="H44" i="8"/>
  <c r="I44" i="8"/>
  <c r="J44" i="8"/>
  <c r="K44" i="8"/>
  <c r="L44" i="8"/>
  <c r="M44" i="8"/>
  <c r="B9" i="1"/>
  <c r="D9" i="1" s="1"/>
  <c r="C10" i="1"/>
  <c r="F10" i="1"/>
  <c r="C9" i="1"/>
  <c r="N45" i="8" l="1"/>
  <c r="N44" i="8"/>
  <c r="B10" i="1"/>
  <c r="G10" i="1" s="1"/>
  <c r="B11" i="1"/>
  <c r="E11" i="1" s="1"/>
  <c r="C11" i="1"/>
  <c r="D11" i="1"/>
  <c r="F11" i="1"/>
  <c r="G11" i="1"/>
  <c r="B12" i="1"/>
  <c r="E12" i="1" s="1"/>
  <c r="C12" i="1"/>
  <c r="D12" i="1"/>
  <c r="B13" i="1"/>
  <c r="E13" i="1" s="1"/>
  <c r="C13" i="1"/>
  <c r="D13" i="1"/>
  <c r="F13" i="1"/>
  <c r="G13" i="1"/>
  <c r="B14" i="1"/>
  <c r="F14" i="1" s="1"/>
  <c r="C14" i="1"/>
  <c r="B15" i="1"/>
  <c r="G15" i="1" s="1"/>
  <c r="C15" i="1"/>
  <c r="F15" i="1"/>
  <c r="B16" i="1"/>
  <c r="C16" i="1"/>
  <c r="D16" i="1"/>
  <c r="E16" i="1"/>
  <c r="F16" i="1"/>
  <c r="G16" i="1"/>
  <c r="B17" i="1"/>
  <c r="E17" i="1" s="1"/>
  <c r="C17" i="1"/>
  <c r="D17" i="1"/>
  <c r="B18" i="1"/>
  <c r="E18" i="1" s="1"/>
  <c r="C18" i="1"/>
  <c r="D18" i="1"/>
  <c r="F18" i="1"/>
  <c r="G18" i="1"/>
  <c r="B19" i="1"/>
  <c r="D19" i="1" s="1"/>
  <c r="C19" i="1"/>
  <c r="B20" i="1"/>
  <c r="G20" i="1" s="1"/>
  <c r="C20" i="1"/>
  <c r="F20" i="1"/>
  <c r="B21" i="1"/>
  <c r="C21" i="1"/>
  <c r="D21" i="1"/>
  <c r="E21" i="1"/>
  <c r="F21" i="1"/>
  <c r="G21" i="1"/>
  <c r="B22" i="1"/>
  <c r="E22" i="1" s="1"/>
  <c r="C22" i="1"/>
  <c r="D22" i="1"/>
  <c r="B23" i="1"/>
  <c r="E23" i="1" s="1"/>
  <c r="C23" i="1"/>
  <c r="D23" i="1"/>
  <c r="F23" i="1"/>
  <c r="G23" i="1"/>
  <c r="B24" i="1"/>
  <c r="E24" i="1" s="1"/>
  <c r="C24" i="1"/>
  <c r="B25" i="1"/>
  <c r="G25" i="1" s="1"/>
  <c r="C25" i="1"/>
  <c r="E25" i="1"/>
  <c r="F25" i="1"/>
  <c r="B26" i="1"/>
  <c r="C26" i="1"/>
  <c r="D26" i="1"/>
  <c r="E26" i="1"/>
  <c r="F26" i="1"/>
  <c r="G26" i="1"/>
  <c r="B27" i="1"/>
  <c r="E27" i="1" s="1"/>
  <c r="C27" i="1"/>
  <c r="D27" i="1"/>
  <c r="B28" i="1"/>
  <c r="E28" i="1" s="1"/>
  <c r="C28" i="1"/>
  <c r="D28" i="1"/>
  <c r="F28" i="1"/>
  <c r="G28" i="1"/>
  <c r="B29" i="1"/>
  <c r="E29" i="1" s="1"/>
  <c r="C29" i="1"/>
  <c r="B30" i="1"/>
  <c r="G30" i="1" s="1"/>
  <c r="C30" i="1"/>
  <c r="E30" i="1"/>
  <c r="F30" i="1"/>
  <c r="B31" i="1"/>
  <c r="C31" i="1"/>
  <c r="D31" i="1"/>
  <c r="E31" i="1"/>
  <c r="F31" i="1"/>
  <c r="G31" i="1"/>
  <c r="B32" i="1"/>
  <c r="E32" i="1" s="1"/>
  <c r="C32" i="1"/>
  <c r="D32" i="1"/>
  <c r="B33" i="1"/>
  <c r="E33" i="1" s="1"/>
  <c r="C33" i="1"/>
  <c r="D33" i="1"/>
  <c r="F33" i="1"/>
  <c r="G33" i="1"/>
  <c r="B34" i="1"/>
  <c r="D34" i="1" s="1"/>
  <c r="C34" i="1"/>
  <c r="B35" i="1"/>
  <c r="G35" i="1" s="1"/>
  <c r="C35" i="1"/>
  <c r="E35" i="1"/>
  <c r="F35" i="1"/>
  <c r="B36" i="1"/>
  <c r="C36" i="1"/>
  <c r="D36" i="1"/>
  <c r="E36" i="1"/>
  <c r="F36" i="1"/>
  <c r="G36" i="1"/>
  <c r="B37" i="1"/>
  <c r="E37" i="1" s="1"/>
  <c r="C37" i="1"/>
  <c r="D37" i="1"/>
  <c r="B38" i="1"/>
  <c r="E38" i="1" s="1"/>
  <c r="C38" i="1"/>
  <c r="D38" i="1"/>
  <c r="F38" i="1"/>
  <c r="G38" i="1"/>
  <c r="B39" i="1"/>
  <c r="D39" i="1" s="1"/>
  <c r="C39" i="1"/>
  <c r="E20" i="1" l="1"/>
  <c r="E15" i="1"/>
  <c r="E10" i="1"/>
  <c r="D20" i="1"/>
  <c r="D10" i="1"/>
  <c r="D35" i="1"/>
  <c r="D30" i="1"/>
  <c r="D25" i="1"/>
  <c r="D15" i="1"/>
  <c r="G39" i="1"/>
  <c r="G34" i="1"/>
  <c r="G29" i="1"/>
  <c r="G24" i="1"/>
  <c r="G19" i="1"/>
  <c r="G14" i="1"/>
  <c r="G9" i="1"/>
  <c r="G40" i="1" s="1"/>
  <c r="F9" i="1"/>
  <c r="E9" i="1"/>
  <c r="F39" i="1"/>
  <c r="F34" i="1"/>
  <c r="F19" i="1"/>
  <c r="E39" i="1"/>
  <c r="G37" i="1"/>
  <c r="E34" i="1"/>
  <c r="E19" i="1"/>
  <c r="G17" i="1"/>
  <c r="E14" i="1"/>
  <c r="G12" i="1"/>
  <c r="F37" i="1"/>
  <c r="F32" i="1"/>
  <c r="D29" i="1"/>
  <c r="F27" i="1"/>
  <c r="D24" i="1"/>
  <c r="F22" i="1"/>
  <c r="F17" i="1"/>
  <c r="D14" i="1"/>
  <c r="F12" i="1"/>
  <c r="F29" i="1"/>
  <c r="F24" i="1"/>
  <c r="G32" i="1"/>
  <c r="G27" i="1"/>
  <c r="G22" i="1"/>
  <c r="B67" i="8" l="1"/>
  <c r="C67" i="8"/>
  <c r="D67" i="8"/>
  <c r="E67" i="8"/>
  <c r="F67" i="8"/>
  <c r="G67" i="8"/>
  <c r="H67" i="8"/>
  <c r="I67" i="8"/>
  <c r="J67" i="8"/>
  <c r="K67" i="8"/>
  <c r="L67" i="8"/>
  <c r="M67" i="8"/>
  <c r="B60" i="8"/>
  <c r="C60" i="8"/>
  <c r="D60" i="8"/>
  <c r="E60" i="8"/>
  <c r="F60" i="8"/>
  <c r="G60" i="8"/>
  <c r="H60" i="8"/>
  <c r="I60" i="8"/>
  <c r="J60" i="8"/>
  <c r="K60" i="8"/>
  <c r="L60" i="8"/>
  <c r="N67" i="8" l="1"/>
  <c r="M60" i="8" l="1"/>
  <c r="B55" i="8"/>
  <c r="C55" i="8"/>
  <c r="D55" i="8"/>
  <c r="E55" i="8"/>
  <c r="F55" i="8"/>
  <c r="G55" i="8"/>
  <c r="H55" i="8"/>
  <c r="I55" i="8"/>
  <c r="J55" i="8"/>
  <c r="K55" i="8"/>
  <c r="L55" i="8"/>
  <c r="M55" i="8"/>
  <c r="B64" i="8"/>
  <c r="C64" i="8"/>
  <c r="D64" i="8"/>
  <c r="E64" i="8"/>
  <c r="F64" i="8"/>
  <c r="G64" i="8"/>
  <c r="H64" i="8"/>
  <c r="I64" i="8"/>
  <c r="J64" i="8"/>
  <c r="K64" i="8"/>
  <c r="M64" i="8"/>
  <c r="B65" i="8"/>
  <c r="C65" i="8"/>
  <c r="D65" i="8"/>
  <c r="E65" i="8"/>
  <c r="F65" i="8"/>
  <c r="G65" i="8"/>
  <c r="H65" i="8"/>
  <c r="I65" i="8"/>
  <c r="J65" i="8"/>
  <c r="K65" i="8"/>
  <c r="L65" i="8"/>
  <c r="M65" i="8"/>
  <c r="B30" i="8"/>
  <c r="K15" i="5"/>
  <c r="K16" i="5"/>
  <c r="K17" i="5"/>
  <c r="K18" i="5"/>
  <c r="K19" i="5"/>
  <c r="K20" i="5"/>
  <c r="K21" i="5"/>
  <c r="K22" i="5"/>
  <c r="K23" i="5"/>
  <c r="K24" i="5"/>
  <c r="N60" i="8" l="1"/>
  <c r="L64" i="8"/>
  <c r="N55" i="8"/>
  <c r="N65" i="8"/>
  <c r="K29" i="5"/>
  <c r="K30" i="5"/>
  <c r="K32" i="5"/>
  <c r="K27" i="5"/>
  <c r="K28" i="5"/>
  <c r="J24" i="5"/>
  <c r="J30" i="5" s="1"/>
  <c r="J23" i="5"/>
  <c r="J22" i="5"/>
  <c r="J21" i="5"/>
  <c r="J20" i="5"/>
  <c r="J19" i="5"/>
  <c r="J28" i="5" s="1"/>
  <c r="J18" i="5"/>
  <c r="J17" i="5"/>
  <c r="J16" i="5"/>
  <c r="J15" i="5"/>
  <c r="N64" i="8" l="1"/>
  <c r="J32" i="5"/>
  <c r="J29" i="5"/>
  <c r="J27" i="5"/>
  <c r="B43" i="8" l="1"/>
  <c r="C43" i="8"/>
  <c r="D43" i="8"/>
  <c r="E43" i="8"/>
  <c r="F43" i="8"/>
  <c r="G43" i="8"/>
  <c r="H43" i="8"/>
  <c r="I43" i="8"/>
  <c r="J43" i="8"/>
  <c r="K43" i="8"/>
  <c r="L43" i="8"/>
  <c r="M43" i="8"/>
  <c r="B46" i="8"/>
  <c r="C46" i="8"/>
  <c r="D46" i="8"/>
  <c r="E46" i="8"/>
  <c r="F46" i="8"/>
  <c r="G46" i="8"/>
  <c r="H46" i="8"/>
  <c r="I46" i="8"/>
  <c r="J46" i="8"/>
  <c r="K46" i="8"/>
  <c r="L46" i="8"/>
  <c r="M46" i="8"/>
  <c r="B47" i="8"/>
  <c r="C47" i="8"/>
  <c r="D47" i="8"/>
  <c r="E47" i="8"/>
  <c r="F47" i="8"/>
  <c r="G47" i="8"/>
  <c r="H47" i="8"/>
  <c r="I47" i="8"/>
  <c r="J47" i="8"/>
  <c r="K47" i="8"/>
  <c r="L47" i="8"/>
  <c r="M47" i="8"/>
  <c r="B48" i="8"/>
  <c r="C48" i="8"/>
  <c r="D48" i="8"/>
  <c r="E48" i="8"/>
  <c r="F48" i="8"/>
  <c r="G48" i="8"/>
  <c r="H48" i="8"/>
  <c r="I48" i="8"/>
  <c r="J48" i="8"/>
  <c r="K48" i="8"/>
  <c r="L48" i="8"/>
  <c r="M48" i="8"/>
  <c r="B49" i="8"/>
  <c r="C49" i="8"/>
  <c r="D49" i="8"/>
  <c r="E49" i="8"/>
  <c r="F49" i="8"/>
  <c r="G49" i="8"/>
  <c r="H49" i="8"/>
  <c r="I49" i="8"/>
  <c r="J49" i="8"/>
  <c r="K49" i="8"/>
  <c r="L49" i="8"/>
  <c r="M49" i="8"/>
  <c r="B50" i="8"/>
  <c r="C50" i="8"/>
  <c r="D50" i="8"/>
  <c r="E50" i="8"/>
  <c r="F50" i="8"/>
  <c r="G50" i="8"/>
  <c r="H50" i="8"/>
  <c r="I50" i="8"/>
  <c r="J50" i="8"/>
  <c r="K50" i="8"/>
  <c r="L50" i="8"/>
  <c r="M50" i="8"/>
  <c r="B51" i="8"/>
  <c r="C51" i="8"/>
  <c r="D51" i="8"/>
  <c r="E51" i="8"/>
  <c r="F51" i="8"/>
  <c r="G51" i="8"/>
  <c r="H51" i="8"/>
  <c r="I51" i="8"/>
  <c r="J51" i="8"/>
  <c r="K51" i="8"/>
  <c r="L51" i="8"/>
  <c r="M51" i="8"/>
  <c r="B52" i="8"/>
  <c r="C52" i="8"/>
  <c r="D52" i="8"/>
  <c r="E52" i="8"/>
  <c r="F52" i="8"/>
  <c r="G52" i="8"/>
  <c r="H52" i="8"/>
  <c r="I52" i="8"/>
  <c r="J52" i="8"/>
  <c r="K52" i="8"/>
  <c r="L52" i="8"/>
  <c r="M52" i="8"/>
  <c r="B53" i="8"/>
  <c r="C53" i="8"/>
  <c r="D53" i="8"/>
  <c r="E53" i="8"/>
  <c r="F53" i="8"/>
  <c r="G53" i="8"/>
  <c r="H53" i="8"/>
  <c r="I53" i="8"/>
  <c r="J53" i="8"/>
  <c r="K53" i="8"/>
  <c r="L53" i="8"/>
  <c r="M53" i="8"/>
  <c r="B54" i="8"/>
  <c r="C54" i="8"/>
  <c r="D54" i="8"/>
  <c r="E54" i="8"/>
  <c r="F54" i="8"/>
  <c r="G54" i="8"/>
  <c r="H54" i="8"/>
  <c r="I54" i="8"/>
  <c r="J54" i="8"/>
  <c r="K54" i="8"/>
  <c r="L54" i="8"/>
  <c r="M54" i="8"/>
  <c r="B56" i="8"/>
  <c r="C56" i="8"/>
  <c r="D56" i="8"/>
  <c r="E56" i="8"/>
  <c r="F56" i="8"/>
  <c r="G56" i="8"/>
  <c r="H56" i="8"/>
  <c r="I56" i="8"/>
  <c r="J56" i="8"/>
  <c r="K56" i="8"/>
  <c r="L56" i="8"/>
  <c r="M56" i="8"/>
  <c r="B57" i="8"/>
  <c r="C57" i="8"/>
  <c r="D57" i="8"/>
  <c r="E57" i="8"/>
  <c r="F57" i="8"/>
  <c r="G57" i="8"/>
  <c r="H57" i="8"/>
  <c r="I57" i="8"/>
  <c r="J57" i="8"/>
  <c r="K57" i="8"/>
  <c r="L57" i="8"/>
  <c r="M57" i="8"/>
  <c r="B58" i="8"/>
  <c r="C58" i="8"/>
  <c r="D58" i="8"/>
  <c r="E58" i="8"/>
  <c r="F58" i="8"/>
  <c r="G58" i="8"/>
  <c r="H58" i="8"/>
  <c r="I58" i="8"/>
  <c r="J58" i="8"/>
  <c r="K58" i="8"/>
  <c r="L58" i="8"/>
  <c r="M58" i="8"/>
  <c r="B59" i="8"/>
  <c r="C59" i="8"/>
  <c r="D59" i="8"/>
  <c r="E59" i="8"/>
  <c r="F59" i="8"/>
  <c r="G59" i="8"/>
  <c r="H59" i="8"/>
  <c r="I59" i="8"/>
  <c r="J59" i="8"/>
  <c r="K59" i="8"/>
  <c r="L59" i="8"/>
  <c r="M59" i="8"/>
  <c r="B62" i="8"/>
  <c r="C62" i="8"/>
  <c r="D62" i="8"/>
  <c r="E62" i="8"/>
  <c r="F62" i="8"/>
  <c r="G62" i="8"/>
  <c r="H62" i="8"/>
  <c r="I62" i="8"/>
  <c r="J62" i="8"/>
  <c r="K62" i="8"/>
  <c r="M62" i="8"/>
  <c r="B63" i="8"/>
  <c r="C63" i="8"/>
  <c r="D63" i="8"/>
  <c r="E63" i="8"/>
  <c r="F63" i="8"/>
  <c r="G63" i="8"/>
  <c r="H63" i="8"/>
  <c r="I63" i="8"/>
  <c r="J63" i="8"/>
  <c r="K63" i="8"/>
  <c r="M63" i="8"/>
  <c r="B66" i="8"/>
  <c r="C66" i="8"/>
  <c r="D66" i="8"/>
  <c r="E66" i="8"/>
  <c r="F66" i="8"/>
  <c r="G66" i="8"/>
  <c r="H66" i="8"/>
  <c r="I66" i="8"/>
  <c r="J66" i="8"/>
  <c r="K66" i="8"/>
  <c r="M66" i="8"/>
  <c r="B68" i="8"/>
  <c r="C68" i="8"/>
  <c r="D68" i="8"/>
  <c r="E68" i="8"/>
  <c r="F68" i="8"/>
  <c r="G68" i="8"/>
  <c r="H68" i="8"/>
  <c r="I68" i="8"/>
  <c r="J68" i="8"/>
  <c r="K68" i="8"/>
  <c r="L68" i="8"/>
  <c r="M68" i="8"/>
  <c r="O70" i="8"/>
  <c r="N46" i="8" l="1"/>
  <c r="N68" i="8"/>
  <c r="N59" i="8"/>
  <c r="N58" i="8"/>
  <c r="N54" i="8"/>
  <c r="N53" i="8"/>
  <c r="N50" i="8"/>
  <c r="N48" i="8"/>
  <c r="N56" i="8"/>
  <c r="N57" i="8"/>
  <c r="N52" i="8"/>
  <c r="N47" i="8"/>
  <c r="N51" i="8"/>
  <c r="N49" i="8"/>
  <c r="N43" i="8"/>
  <c r="F3" i="11"/>
  <c r="L66" i="8"/>
  <c r="N66" i="8" s="1"/>
  <c r="L63" i="8"/>
  <c r="N63" i="8" s="1"/>
  <c r="L62" i="8"/>
  <c r="N62" i="8" s="1"/>
  <c r="E11" i="11"/>
  <c r="N70" i="8" l="1"/>
  <c r="J48" i="5"/>
  <c r="O30" i="8"/>
  <c r="I15" i="5"/>
  <c r="I16" i="5"/>
  <c r="I17" i="5"/>
  <c r="I18" i="5"/>
  <c r="I19" i="5"/>
  <c r="I28" i="5" s="1"/>
  <c r="I20" i="5"/>
  <c r="I21" i="5"/>
  <c r="I22" i="5"/>
  <c r="I23" i="5"/>
  <c r="I24" i="5"/>
  <c r="I30" i="5" s="1"/>
  <c r="M6" i="5" l="1"/>
  <c r="I32" i="5"/>
  <c r="I29" i="5"/>
  <c r="I27" i="5"/>
  <c r="D55" i="5" l="1"/>
  <c r="D56" i="5" l="1"/>
  <c r="D54" i="5"/>
  <c r="H15" i="5" l="1"/>
  <c r="H16" i="5"/>
  <c r="H17" i="5"/>
  <c r="H18" i="5"/>
  <c r="H19" i="5"/>
  <c r="H28" i="5" s="1"/>
  <c r="H20" i="5"/>
  <c r="H21" i="5"/>
  <c r="H22" i="5"/>
  <c r="H23" i="5"/>
  <c r="H24" i="5"/>
  <c r="H30" i="5" s="1"/>
  <c r="H32" i="5" l="1"/>
  <c r="H27" i="5"/>
  <c r="H29" i="5"/>
  <c r="H30" i="8" l="1"/>
  <c r="I30" i="8"/>
  <c r="J30" i="8"/>
  <c r="K30" i="8"/>
  <c r="L30" i="8"/>
  <c r="G30" i="8"/>
  <c r="D30" i="8"/>
  <c r="C30" i="8"/>
  <c r="Q30" i="8" s="1"/>
  <c r="T30" i="8" l="1"/>
  <c r="G15" i="5" l="1"/>
  <c r="G16" i="5"/>
  <c r="G17" i="5"/>
  <c r="G18" i="5"/>
  <c r="G19" i="5"/>
  <c r="G28" i="5" s="1"/>
  <c r="G20" i="5"/>
  <c r="G21" i="5"/>
  <c r="G22" i="5"/>
  <c r="G23" i="5"/>
  <c r="G24" i="5"/>
  <c r="G30" i="5" s="1"/>
  <c r="G32" i="5" l="1"/>
  <c r="G29" i="5"/>
  <c r="G27" i="5"/>
  <c r="F15" i="5" l="1"/>
  <c r="F16" i="5"/>
  <c r="F17" i="5"/>
  <c r="F18" i="5"/>
  <c r="F19" i="5"/>
  <c r="F28" i="5" s="1"/>
  <c r="F20" i="5"/>
  <c r="F21" i="5"/>
  <c r="F22" i="5"/>
  <c r="F23" i="5"/>
  <c r="F24" i="5"/>
  <c r="F30" i="5" s="1"/>
  <c r="D58" i="5"/>
  <c r="F62" i="5" s="1"/>
  <c r="F27" i="5" l="1"/>
  <c r="F32" i="5"/>
  <c r="F29" i="5"/>
  <c r="E14" i="11" l="1"/>
  <c r="D14" i="11"/>
  <c r="D12" i="11"/>
  <c r="D11" i="11"/>
  <c r="F10" i="11"/>
  <c r="D10" i="11"/>
  <c r="E9" i="11"/>
  <c r="D9" i="11"/>
  <c r="E8" i="11"/>
  <c r="D8" i="11"/>
  <c r="E7" i="11"/>
  <c r="D7" i="11"/>
  <c r="Q46" i="8"/>
  <c r="O46" i="5"/>
  <c r="R44" i="5"/>
  <c r="Q44" i="5"/>
  <c r="P44" i="5"/>
  <c r="O44" i="5"/>
  <c r="N44" i="5"/>
  <c r="L41" i="5"/>
  <c r="H41" i="5"/>
  <c r="J41" i="5" s="1"/>
  <c r="K41" i="5" s="1"/>
  <c r="E41" i="5"/>
  <c r="B41" i="5"/>
  <c r="C41" i="5" s="1"/>
  <c r="D41" i="5" s="1"/>
  <c r="L40" i="5"/>
  <c r="H40" i="5"/>
  <c r="J40" i="5" s="1"/>
  <c r="K40" i="5" s="1"/>
  <c r="E40" i="5"/>
  <c r="B40" i="5"/>
  <c r="C40" i="5" s="1"/>
  <c r="D40" i="5" s="1"/>
  <c r="L39" i="5"/>
  <c r="H39" i="5"/>
  <c r="J39" i="5" s="1"/>
  <c r="K39" i="5" s="1"/>
  <c r="E39" i="5"/>
  <c r="B39" i="5"/>
  <c r="C39" i="5" s="1"/>
  <c r="D39" i="5" s="1"/>
  <c r="L38" i="5"/>
  <c r="H38" i="5"/>
  <c r="J38" i="5" s="1"/>
  <c r="K38" i="5" s="1"/>
  <c r="E38" i="5"/>
  <c r="B38" i="5"/>
  <c r="C38" i="5" s="1"/>
  <c r="D38" i="5" s="1"/>
  <c r="J37" i="5"/>
  <c r="K37" i="5" s="1"/>
  <c r="C37" i="5"/>
  <c r="D37" i="5" s="1"/>
  <c r="E24" i="5"/>
  <c r="E30" i="5" s="1"/>
  <c r="E23" i="5"/>
  <c r="E22" i="5"/>
  <c r="E21" i="5"/>
  <c r="E20" i="5"/>
  <c r="E19" i="5"/>
  <c r="E28" i="5" s="1"/>
  <c r="E18" i="5"/>
  <c r="E17" i="5"/>
  <c r="E16" i="5"/>
  <c r="E15" i="5"/>
  <c r="M14" i="5"/>
  <c r="M13" i="5"/>
  <c r="M12" i="5"/>
  <c r="M11" i="5"/>
  <c r="A33" i="5" s="1"/>
  <c r="M10" i="5"/>
  <c r="M9" i="5"/>
  <c r="M8" i="5"/>
  <c r="M7" i="5"/>
  <c r="D26" i="5" l="1"/>
  <c r="C34" i="5"/>
  <c r="I25" i="5"/>
  <c r="I34" i="5" s="1"/>
  <c r="K25" i="5"/>
  <c r="K34" i="5" s="1"/>
  <c r="J25" i="5"/>
  <c r="J34" i="5" s="1"/>
  <c r="E32" i="5"/>
  <c r="N32" i="5" s="1"/>
  <c r="H25" i="5"/>
  <c r="H34" i="5" s="1"/>
  <c r="K53" i="5"/>
  <c r="J49" i="5"/>
  <c r="K52" i="5"/>
  <c r="G25" i="5"/>
  <c r="G34" i="5" s="1"/>
  <c r="F25" i="5"/>
  <c r="F34" i="5" s="1"/>
  <c r="J55" i="5"/>
  <c r="K54" i="5"/>
  <c r="J50" i="5"/>
  <c r="N30" i="5"/>
  <c r="N28" i="5"/>
  <c r="D52" i="5" s="1"/>
  <c r="F12" i="11" s="1"/>
  <c r="B26" i="5"/>
  <c r="E29" i="5"/>
  <c r="M16" i="5"/>
  <c r="M17" i="5"/>
  <c r="M18" i="5"/>
  <c r="M20" i="5"/>
  <c r="M21" i="5"/>
  <c r="M23" i="5"/>
  <c r="M15" i="5"/>
  <c r="M24" i="5"/>
  <c r="E27" i="5"/>
  <c r="N27" i="5" s="1"/>
  <c r="M19" i="5"/>
  <c r="M22" i="5"/>
  <c r="E25" i="5"/>
  <c r="E34" i="5" l="1"/>
  <c r="N6" i="5"/>
  <c r="D47" i="5"/>
  <c r="D34" i="5"/>
  <c r="L35" i="5" s="1"/>
  <c r="D51" i="5"/>
  <c r="D50" i="5"/>
  <c r="F11" i="11" s="1"/>
  <c r="B34" i="5"/>
  <c r="N29" i="5"/>
  <c r="N26" i="5"/>
  <c r="N25" i="5"/>
  <c r="J56" i="5"/>
  <c r="J57" i="5" s="1"/>
  <c r="J58" i="5" s="1"/>
  <c r="F7" i="11" l="1"/>
  <c r="D49" i="5"/>
  <c r="F9" i="11" s="1"/>
  <c r="D48" i="5"/>
  <c r="F63" i="5" l="1"/>
  <c r="F65" i="5" s="1"/>
  <c r="F8" i="11"/>
  <c r="D64" i="5"/>
  <c r="F15" i="1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Street Mall Accountant</author>
    <author>אילן</author>
  </authors>
  <commentList>
    <comment ref="R37" authorId="0" shapeId="0" xr:uid="{00000000-0006-0000-0200-000001000000}">
      <text>
        <r>
          <rPr>
            <b/>
            <sz val="9"/>
            <color rgb="FF000000"/>
            <rFont val="Tahoma"/>
            <family val="2"/>
          </rPr>
          <t>Street Mall Accountant: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Tahoma"/>
            <family val="2"/>
          </rPr>
          <t>כולל</t>
        </r>
        <r>
          <rPr>
            <sz val="9"/>
            <color rgb="FF000000"/>
            <rFont val="Tahoma"/>
            <family val="2"/>
          </rPr>
          <t xml:space="preserve">  </t>
        </r>
        <r>
          <rPr>
            <sz val="9"/>
            <color rgb="FF000000"/>
            <rFont val="Tahoma"/>
            <family val="2"/>
          </rPr>
          <t>אימון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Tahoma"/>
            <family val="2"/>
          </rPr>
          <t>אישי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Tahoma"/>
            <family val="2"/>
          </rPr>
          <t>קבוצתי</t>
        </r>
        <r>
          <rPr>
            <sz val="9"/>
            <color rgb="FF000000"/>
            <rFont val="Tahoma"/>
            <family val="2"/>
          </rPr>
          <t xml:space="preserve">, </t>
        </r>
        <r>
          <rPr>
            <sz val="9"/>
            <color rgb="FF000000"/>
            <rFont val="Tahoma"/>
            <family val="2"/>
          </rPr>
          <t>לפי</t>
        </r>
        <r>
          <rPr>
            <sz val="9"/>
            <color rgb="FF000000"/>
            <rFont val="Tahoma"/>
            <family val="2"/>
          </rPr>
          <t xml:space="preserve"> 150 ₪ </t>
        </r>
        <r>
          <rPr>
            <sz val="9"/>
            <color rgb="FF000000"/>
            <rFont val="Tahoma"/>
            <family val="2"/>
          </rPr>
          <t>חיוב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Tahoma"/>
            <family val="2"/>
          </rPr>
          <t>יזם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Tahoma"/>
            <family val="2"/>
          </rPr>
          <t>ואימונים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Tahoma"/>
            <family val="2"/>
          </rPr>
          <t>אישיים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Tahoma"/>
            <family val="2"/>
          </rPr>
          <t>מאמני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Tahoma"/>
            <family val="2"/>
          </rPr>
          <t>חוץ</t>
        </r>
      </text>
    </comment>
    <comment ref="N38" authorId="0" shapeId="0" xr:uid="{00000000-0006-0000-0200-000002000000}">
      <text>
        <r>
          <rPr>
            <b/>
            <sz val="9"/>
            <color rgb="FF000000"/>
            <rFont val="Tahoma"/>
            <family val="2"/>
          </rPr>
          <t>Street Mall Accountant: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אימונים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Tahoma"/>
            <family val="2"/>
          </rPr>
          <t>קבוצתיים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Tahoma"/>
            <family val="2"/>
          </rPr>
          <t>מאמני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Tahoma"/>
            <family val="2"/>
          </rPr>
          <t>חוץ</t>
        </r>
        <r>
          <rPr>
            <sz val="9"/>
            <color rgb="FF000000"/>
            <rFont val="Tahoma"/>
            <family val="2"/>
          </rPr>
          <t xml:space="preserve">
</t>
        </r>
      </text>
    </comment>
    <comment ref="P43" authorId="0" shapeId="0" xr:uid="{00000000-0006-0000-0200-000004000000}">
      <text>
        <r>
          <rPr>
            <b/>
            <sz val="9"/>
            <color rgb="FF000000"/>
            <rFont val="Tahoma"/>
            <family val="2"/>
          </rPr>
          <t>Street Mall Accountant: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כולל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Tahoma"/>
            <family val="2"/>
          </rPr>
          <t>אימון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Tahoma"/>
            <family val="2"/>
          </rPr>
          <t>אישי</t>
        </r>
        <r>
          <rPr>
            <sz val="9"/>
            <color rgb="FF000000"/>
            <rFont val="Tahoma"/>
            <family val="2"/>
          </rPr>
          <t xml:space="preserve">  </t>
        </r>
        <r>
          <rPr>
            <sz val="9"/>
            <color rgb="FF000000"/>
            <rFont val="Tahoma"/>
            <family val="2"/>
          </rPr>
          <t>סטודיו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Tahoma"/>
            <family val="2"/>
          </rPr>
          <t>לפי</t>
        </r>
        <r>
          <rPr>
            <sz val="9"/>
            <color rgb="FF000000"/>
            <rFont val="Tahoma"/>
            <family val="2"/>
          </rPr>
          <t xml:space="preserve"> 120/130 ₪
</t>
        </r>
        <r>
          <rPr>
            <sz val="9"/>
            <color rgb="FF000000"/>
            <rFont val="Tahoma"/>
            <family val="2"/>
          </rPr>
          <t>סטודיו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Tahoma"/>
            <family val="2"/>
          </rPr>
          <t>פילאטיס</t>
        </r>
        <r>
          <rPr>
            <sz val="9"/>
            <color rgb="FF000000"/>
            <rFont val="Tahoma"/>
            <family val="2"/>
          </rPr>
          <t xml:space="preserve"> 130 ₪ </t>
        </r>
      </text>
    </comment>
    <comment ref="R43" authorId="0" shapeId="0" xr:uid="{00000000-0006-0000-0200-000005000000}">
      <text>
        <r>
          <rPr>
            <b/>
            <sz val="9"/>
            <color rgb="FF000000"/>
            <rFont val="Tahoma"/>
            <family val="2"/>
          </rPr>
          <t>Street Mall Accountant: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אימון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Tahoma"/>
            <family val="2"/>
          </rPr>
          <t>אישי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Tahoma"/>
            <family val="2"/>
          </rPr>
          <t>סטודיו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Tahoma"/>
            <family val="2"/>
          </rPr>
          <t>לפי</t>
        </r>
        <r>
          <rPr>
            <sz val="9"/>
            <color rgb="FF000000"/>
            <rFont val="Tahoma"/>
            <family val="2"/>
          </rPr>
          <t xml:space="preserve"> 130 ₪ </t>
        </r>
        <r>
          <rPr>
            <sz val="9"/>
            <color rgb="FF000000"/>
            <rFont val="Tahoma"/>
            <family val="2"/>
          </rPr>
          <t>בשכר</t>
        </r>
      </text>
    </comment>
    <comment ref="M44" authorId="0" shapeId="0" xr:uid="{00000000-0006-0000-0200-000006000000}">
      <text>
        <r>
          <rPr>
            <b/>
            <sz val="9"/>
            <color rgb="FF000000"/>
            <rFont val="Tahoma"/>
            <family val="2"/>
          </rPr>
          <t>Street Mall Accountant: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סטודיו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Tahoma"/>
            <family val="2"/>
          </rPr>
          <t>פילאטיס</t>
        </r>
        <r>
          <rPr>
            <sz val="9"/>
            <color rgb="FF000000"/>
            <rFont val="Tahoma"/>
            <family val="2"/>
          </rPr>
          <t xml:space="preserve">  130 ₪  </t>
        </r>
        <r>
          <rPr>
            <sz val="9"/>
            <color rgb="FF000000"/>
            <rFont val="Tahoma"/>
            <family val="2"/>
          </rPr>
          <t>בשכר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Tahoma"/>
            <family val="2"/>
          </rPr>
          <t>לשיעור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עלות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Tahoma"/>
            <family val="2"/>
          </rPr>
          <t>מעביד</t>
        </r>
        <r>
          <rPr>
            <sz val="9"/>
            <color rgb="FF000000"/>
            <rFont val="Tahoma"/>
            <family val="2"/>
          </rPr>
          <t xml:space="preserve"> 180 ₪ 
</t>
        </r>
      </text>
    </comment>
    <comment ref="O45" authorId="0" shapeId="0" xr:uid="{00000000-0006-0000-0200-000007000000}">
      <text>
        <r>
          <rPr>
            <b/>
            <sz val="9"/>
            <color rgb="FF000000"/>
            <rFont val="Tahoma"/>
            <family val="2"/>
          </rPr>
          <t>Street Mall Accountant: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אימון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Tahoma"/>
            <family val="2"/>
          </rPr>
          <t>אישי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Tahoma"/>
            <family val="2"/>
          </rPr>
          <t>קבוצתי</t>
        </r>
      </text>
    </comment>
    <comment ref="D54" authorId="1" shapeId="0" xr:uid="{00000000-0006-0000-0200-000008000000}">
      <text>
        <r>
          <rPr>
            <b/>
            <sz val="9"/>
            <color rgb="FF000000"/>
            <rFont val="Tahoma"/>
            <family val="2"/>
          </rPr>
          <t>אילן</t>
        </r>
        <r>
          <rPr>
            <b/>
            <sz val="9"/>
            <color rgb="FF000000"/>
            <rFont val="Tahoma"/>
            <family val="2"/>
          </rPr>
          <t>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כולל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Tahoma"/>
            <family val="2"/>
          </rPr>
          <t>עידן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Tahoma"/>
            <family val="2"/>
          </rPr>
          <t>וקסר</t>
        </r>
        <r>
          <rPr>
            <sz val="9"/>
            <color rgb="FF000000"/>
            <rFont val="Tahoma"/>
            <family val="2"/>
          </rPr>
          <t xml:space="preserve">- </t>
        </r>
        <r>
          <rPr>
            <sz val="9"/>
            <color rgb="FF000000"/>
            <rFont val="Tahoma"/>
            <family val="2"/>
          </rPr>
          <t>יעוץ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Tahoma"/>
            <family val="2"/>
          </rPr>
          <t>תזונה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Tahoma"/>
            <family val="2"/>
          </rPr>
          <t>וניהול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Tahoma"/>
            <family val="2"/>
          </rPr>
          <t>אישיים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 xml:space="preserve">
</t>
        </r>
      </text>
    </comment>
    <comment ref="D58" authorId="0" shapeId="0" xr:uid="{00000000-0006-0000-0200-00000A000000}">
      <text>
        <r>
          <rPr>
            <b/>
            <sz val="9"/>
            <color indexed="81"/>
            <rFont val="Tahoma"/>
            <family val="2"/>
          </rPr>
          <t>Street Mall Accountant:</t>
        </r>
        <r>
          <rPr>
            <sz val="9"/>
            <color indexed="81"/>
            <rFont val="Tahoma"/>
            <family val="2"/>
          </rPr>
          <t xml:space="preserve">
ניר 2000</t>
        </r>
      </text>
    </comment>
  </commentList>
</comments>
</file>

<file path=xl/sharedStrings.xml><?xml version="1.0" encoding="utf-8"?>
<sst xmlns="http://schemas.openxmlformats.org/spreadsheetml/2006/main" count="2988" uniqueCount="373">
  <si>
    <t xml:space="preserve">    אריאל ספא בע"מ </t>
  </si>
  <si>
    <t>שעות פעילות חד"כ</t>
  </si>
  <si>
    <t>יום</t>
  </si>
  <si>
    <t xml:space="preserve">יום </t>
  </si>
  <si>
    <t>משמרת ערב ארוכה</t>
  </si>
  <si>
    <t>סה"כ</t>
  </si>
  <si>
    <t>בחודש</t>
  </si>
  <si>
    <t>בשבוע</t>
  </si>
  <si>
    <t>שעות עבודה</t>
  </si>
  <si>
    <t>הערות</t>
  </si>
  <si>
    <t xml:space="preserve">   אריאל ספא בע"מ</t>
  </si>
  <si>
    <t xml:space="preserve"> </t>
  </si>
  <si>
    <t>נוכחות</t>
  </si>
  <si>
    <t>אור-ים זגורי</t>
  </si>
  <si>
    <t>ברק ביטון</t>
  </si>
  <si>
    <t>רועי עתריה</t>
  </si>
  <si>
    <t>עמית אבן</t>
  </si>
  <si>
    <t>עדי סרי</t>
  </si>
  <si>
    <t>אימונים אישיים</t>
  </si>
  <si>
    <t>אימוני קבוצות</t>
  </si>
  <si>
    <t>חמישי</t>
  </si>
  <si>
    <t>ראשון</t>
  </si>
  <si>
    <t>שני</t>
  </si>
  <si>
    <t>שלישי</t>
  </si>
  <si>
    <t>רביעי</t>
  </si>
  <si>
    <t>שם העובד :</t>
  </si>
  <si>
    <t>פירוט</t>
  </si>
  <si>
    <t>שעות רגילות</t>
  </si>
  <si>
    <t>תעריף לפי 125%</t>
  </si>
  <si>
    <t>תעריף לפי 150%</t>
  </si>
  <si>
    <t>תעריף לפי 175%</t>
  </si>
  <si>
    <t>תעריף לפי 200%</t>
  </si>
  <si>
    <t>תשלום נסיעות בפועל</t>
  </si>
  <si>
    <t xml:space="preserve">סה"כ חיוב בגין שעות </t>
  </si>
  <si>
    <t>ברוטו עובד</t>
  </si>
  <si>
    <t>סוציאליות 25%</t>
  </si>
  <si>
    <t>סה"כ עלות מעביד</t>
  </si>
  <si>
    <t>עלות חיוב לפרוייקט</t>
  </si>
  <si>
    <t xml:space="preserve">הפרשים מחודש קודם : </t>
  </si>
  <si>
    <t>השוואת שעות עבודה</t>
  </si>
  <si>
    <t>שעות עבודה בפועל  :</t>
  </si>
  <si>
    <t>סה"כ שעות נטו :</t>
  </si>
  <si>
    <t>נציגות קבלה</t>
  </si>
  <si>
    <t>מדריכים</t>
  </si>
  <si>
    <t xml:space="preserve">חיוב מדריכים +קבלה  </t>
  </si>
  <si>
    <t>נציגת קבלה</t>
  </si>
  <si>
    <t>מדריך</t>
  </si>
  <si>
    <t>תאריך</t>
  </si>
  <si>
    <t>שעת התחלה</t>
  </si>
  <si>
    <t>שעת סיום</t>
  </si>
  <si>
    <t>סך שעות</t>
  </si>
  <si>
    <t>סך דקות</t>
  </si>
  <si>
    <t>סטטוס</t>
  </si>
  <si>
    <t>מאמן משני</t>
  </si>
  <si>
    <t>מאמן</t>
  </si>
  <si>
    <t>אימון</t>
  </si>
  <si>
    <t>רישומי מתאמנים</t>
  </si>
  <si>
    <t>צ'ק אין</t>
  </si>
  <si>
    <t>רשימת המתנה</t>
  </si>
  <si>
    <t>סניף</t>
  </si>
  <si>
    <t>מתקיים</t>
  </si>
  <si>
    <t>זהבה מז'יבובסקי</t>
  </si>
  <si>
    <t>HIIT TRX</t>
  </si>
  <si>
    <t>Alon Towers</t>
  </si>
  <si>
    <t>יוגה</t>
  </si>
  <si>
    <t>ALON SKILL</t>
  </si>
  <si>
    <t>פילאטיס</t>
  </si>
  <si>
    <t>HIIT פונקציונלי</t>
  </si>
  <si>
    <t>מורן גרינשטיין</t>
  </si>
  <si>
    <t>גיל בקמן</t>
  </si>
  <si>
    <t>ליהי אברמזון</t>
  </si>
  <si>
    <t>OUTDOOR FUNCTIONAL</t>
  </si>
  <si>
    <t>מתן הלוי</t>
  </si>
  <si>
    <t>KICK AND SHAPE</t>
  </si>
  <si>
    <t>השיעור בוטל</t>
  </si>
  <si>
    <t>KICKBOX</t>
  </si>
  <si>
    <t>core ומתיחות</t>
  </si>
  <si>
    <t>תוויות שורה</t>
  </si>
  <si>
    <t>סכום כולל</t>
  </si>
  <si>
    <t>ספירה של תאריך</t>
  </si>
  <si>
    <t>תוויות עמודה</t>
  </si>
  <si>
    <t>תיאור אירוע</t>
  </si>
  <si>
    <t>סוג אירוע</t>
  </si>
  <si>
    <t>ראש השנה א'</t>
  </si>
  <si>
    <t>חגים דתיים</t>
  </si>
  <si>
    <t>ראש השנה ב'</t>
  </si>
  <si>
    <t>צום גדליה</t>
  </si>
  <si>
    <t>ערב יום כיפור</t>
  </si>
  <si>
    <t>יום כיפור</t>
  </si>
  <si>
    <t>ערב סוכות</t>
  </si>
  <si>
    <t>סוכות</t>
  </si>
  <si>
    <t>חול המועד סוכות (1)</t>
  </si>
  <si>
    <t>חול המועד סוכות (2)</t>
  </si>
  <si>
    <t>חול המועד סוכות (3)</t>
  </si>
  <si>
    <t>חול המועד סוכות (4)</t>
  </si>
  <si>
    <t>חול המועד סוכות (5)</t>
  </si>
  <si>
    <t>ערב שמחת תורה</t>
  </si>
  <si>
    <t>שמחת תורה</t>
  </si>
  <si>
    <t>אסרו חג - סוכות</t>
  </si>
  <si>
    <t>יום הזכרון ליצחק רבין</t>
  </si>
  <si>
    <t>חגים חילוניים</t>
  </si>
  <si>
    <t>חנוכה (1)</t>
  </si>
  <si>
    <t>חנוכה (2)</t>
  </si>
  <si>
    <t>חנוכה (3)</t>
  </si>
  <si>
    <t>חנוכה (4)</t>
  </si>
  <si>
    <t>חנוכה (5)</t>
  </si>
  <si>
    <t>חנוכה (6)</t>
  </si>
  <si>
    <t>חנוכה (7)</t>
  </si>
  <si>
    <t>חנוכה (8)</t>
  </si>
  <si>
    <t>צום עשרה בטבת</t>
  </si>
  <si>
    <t>יום הזכרון הבנ"ל לשואה</t>
  </si>
  <si>
    <t>ימים מוכרים בינלאומית</t>
  </si>
  <si>
    <t>ט"ו בשבט</t>
  </si>
  <si>
    <t>תענית אסתר</t>
  </si>
  <si>
    <t>פורים</t>
  </si>
  <si>
    <t>שושן פורים</t>
  </si>
  <si>
    <t>ערב פסח</t>
  </si>
  <si>
    <t>פסח</t>
  </si>
  <si>
    <t>חול המועד פסח (1)</t>
  </si>
  <si>
    <t>חול המועד פסח (2)</t>
  </si>
  <si>
    <t>חול המועד פסח (3)</t>
  </si>
  <si>
    <t>חול המועד פסח (4)</t>
  </si>
  <si>
    <t>ערב פסח (חג שני)</t>
  </si>
  <si>
    <t>שביעי של פסח</t>
  </si>
  <si>
    <t>אסרו חג פסח</t>
  </si>
  <si>
    <t>יום הזכרון לשואה ולגבורה</t>
  </si>
  <si>
    <t>יום הזכרון לחללי צה"ל</t>
  </si>
  <si>
    <t>יום העצמאות</t>
  </si>
  <si>
    <t>ל"ג בעומר</t>
  </si>
  <si>
    <t>יום ירושלים</t>
  </si>
  <si>
    <t>ערב שבועות</t>
  </si>
  <si>
    <t>שבועות</t>
  </si>
  <si>
    <t>אסרו חג שבועות</t>
  </si>
  <si>
    <t>צום שבעה עשר בתמוז</t>
  </si>
  <si>
    <t>תשעה באב</t>
  </si>
  <si>
    <t>ערב ראש השנה</t>
  </si>
  <si>
    <t>פורים קטן</t>
  </si>
  <si>
    <t>יום בחירות ארציות</t>
  </si>
  <si>
    <t>ימי שבתון</t>
  </si>
  <si>
    <t>חג</t>
  </si>
  <si>
    <t>וימים מיוחדים</t>
  </si>
  <si>
    <t>מדריכים חיצונים</t>
  </si>
  <si>
    <t>מדריכים פנימיים</t>
  </si>
  <si>
    <t>שם המדריך</t>
  </si>
  <si>
    <t>סהכ</t>
  </si>
  <si>
    <t>ספיר ילינביץ'</t>
  </si>
  <si>
    <t>אחוז תפוסה</t>
  </si>
  <si>
    <t>ליאורה נוריאל</t>
  </si>
  <si>
    <t>Kickbox</t>
  </si>
  <si>
    <t>Alon Skill</t>
  </si>
  <si>
    <t>ליאל ויינברגר</t>
  </si>
  <si>
    <t>Power Yoga</t>
  </si>
  <si>
    <t>Ouotdoor Functional</t>
  </si>
  <si>
    <t>דניאלה גכטמן</t>
  </si>
  <si>
    <t>Alon Cross</t>
  </si>
  <si>
    <t>שמוליק בריל</t>
  </si>
  <si>
    <t>מס סעיף</t>
  </si>
  <si>
    <t>שם סעיף</t>
  </si>
  <si>
    <t>סכום</t>
  </si>
  <si>
    <t>חיוב בגין פקידת קבלה</t>
  </si>
  <si>
    <t>יום ראשון</t>
  </si>
  <si>
    <t>יום שני</t>
  </si>
  <si>
    <t>יום שלישי</t>
  </si>
  <si>
    <t>יום רביעי</t>
  </si>
  <si>
    <t>יום חמישי</t>
  </si>
  <si>
    <t>יום שישי</t>
  </si>
  <si>
    <t>שבת</t>
  </si>
  <si>
    <t>A+ סטריט מול בע"מ</t>
  </si>
  <si>
    <t>שישי</t>
  </si>
  <si>
    <t>סוציאליות 30%</t>
  </si>
  <si>
    <t>ראשון - חמישי</t>
  </si>
  <si>
    <t>שעות</t>
  </si>
  <si>
    <t>מס' שעות</t>
  </si>
  <si>
    <t>מס' עובדים</t>
  </si>
  <si>
    <t>נורמאטיבי</t>
  </si>
  <si>
    <t>משמרת ערב סגירה</t>
  </si>
  <si>
    <t>עומר לוי</t>
  </si>
  <si>
    <t>A+ סטריט מול</t>
  </si>
  <si>
    <t>ניר איזנבך</t>
  </si>
  <si>
    <t>הפרש בין חילנט לפועל :</t>
  </si>
  <si>
    <t>אימונים אישי</t>
  </si>
  <si>
    <t xml:space="preserve">אימונים קבוצתיים </t>
  </si>
  <si>
    <t>מתקיים סטודיו</t>
  </si>
  <si>
    <r>
      <t xml:space="preserve">סה"כ שיעורי </t>
    </r>
    <r>
      <rPr>
        <b/>
        <u/>
        <sz val="11"/>
        <color rgb="FFFF0000"/>
        <rFont val="Calibri"/>
        <family val="2"/>
        <scheme val="minor"/>
      </rPr>
      <t>סטודיו</t>
    </r>
    <r>
      <rPr>
        <b/>
        <sz val="11"/>
        <color theme="1"/>
        <rFont val="Calibri"/>
        <family val="2"/>
        <scheme val="minor"/>
      </rPr>
      <t xml:space="preserve"> מאמנים </t>
    </r>
    <r>
      <rPr>
        <b/>
        <sz val="11"/>
        <color rgb="FF0070C0"/>
        <rFont val="Calibri"/>
        <family val="2"/>
        <scheme val="minor"/>
      </rPr>
      <t>חיצוניים</t>
    </r>
  </si>
  <si>
    <r>
      <t xml:space="preserve">סה"כ שיעורי </t>
    </r>
    <r>
      <rPr>
        <b/>
        <u/>
        <sz val="11"/>
        <color rgb="FFFF0000"/>
        <rFont val="Calibri"/>
        <family val="2"/>
        <scheme val="minor"/>
      </rPr>
      <t>מועדון</t>
    </r>
    <r>
      <rPr>
        <b/>
        <sz val="11"/>
        <color theme="1"/>
        <rFont val="Calibri"/>
        <family val="2"/>
        <scheme val="minor"/>
      </rPr>
      <t xml:space="preserve"> מאמנים </t>
    </r>
    <r>
      <rPr>
        <b/>
        <sz val="11"/>
        <color rgb="FF0070C0"/>
        <rFont val="Calibri"/>
        <family val="2"/>
        <scheme val="minor"/>
      </rPr>
      <t>חיצוניים</t>
    </r>
  </si>
  <si>
    <t>סך הכל</t>
  </si>
  <si>
    <t>בוקר</t>
  </si>
  <si>
    <t xml:space="preserve">משמרת בוקר </t>
  </si>
  <si>
    <t>שונות (בונוס)</t>
  </si>
  <si>
    <r>
      <t xml:space="preserve"> כמות אימונים </t>
    </r>
    <r>
      <rPr>
        <b/>
        <sz val="11"/>
        <color rgb="FFFF0000"/>
        <rFont val="Calibri"/>
        <family val="2"/>
        <scheme val="minor"/>
      </rPr>
      <t>אישיים במשמרת</t>
    </r>
  </si>
  <si>
    <t>סה"כ שעות אמונים אישיים במשמרת</t>
  </si>
  <si>
    <t>סה"כ שעות אמונים אישיים לא במשמרת</t>
  </si>
  <si>
    <t>אימונים קבוצתיים</t>
  </si>
  <si>
    <t>לא במשמרת</t>
  </si>
  <si>
    <r>
      <t xml:space="preserve">סה"כ אימונים </t>
    </r>
    <r>
      <rPr>
        <b/>
        <sz val="11"/>
        <color rgb="FF0070C0"/>
        <rFont val="Calibri"/>
        <family val="2"/>
        <scheme val="minor"/>
      </rPr>
      <t>אישיים</t>
    </r>
    <r>
      <rPr>
        <b/>
        <sz val="11"/>
        <color theme="1"/>
        <rFont val="Calibri"/>
        <family val="2"/>
        <scheme val="minor"/>
      </rPr>
      <t xml:space="preserve"> </t>
    </r>
    <r>
      <rPr>
        <b/>
        <sz val="11"/>
        <color rgb="FFFF0000"/>
        <rFont val="Calibri"/>
        <family val="2"/>
        <scheme val="minor"/>
      </rPr>
      <t>לא במשמרת</t>
    </r>
  </si>
  <si>
    <r>
      <t xml:space="preserve">סה"כ אימונים </t>
    </r>
    <r>
      <rPr>
        <b/>
        <sz val="11"/>
        <color rgb="FF0070C0"/>
        <rFont val="Calibri"/>
        <family val="2"/>
        <scheme val="minor"/>
      </rPr>
      <t>אישיים</t>
    </r>
    <r>
      <rPr>
        <b/>
        <sz val="11"/>
        <color theme="1"/>
        <rFont val="Calibri"/>
        <family val="2"/>
        <scheme val="minor"/>
      </rPr>
      <t xml:space="preserve"> </t>
    </r>
    <r>
      <rPr>
        <b/>
        <sz val="11"/>
        <color rgb="FFFF0000"/>
        <rFont val="Calibri"/>
        <family val="2"/>
        <scheme val="minor"/>
      </rPr>
      <t xml:space="preserve"> במשמרת</t>
    </r>
  </si>
  <si>
    <t>סה"כ שעות אימוני סטודיו</t>
  </si>
  <si>
    <t xml:space="preserve">שעות מדריכים - סטודיו </t>
  </si>
  <si>
    <t>שעות אימון אישי במשמרת</t>
  </si>
  <si>
    <t>שעות אימון אישי  לא במשמרת</t>
  </si>
  <si>
    <t xml:space="preserve">סה"כ שעות עבודה בחילנט </t>
  </si>
  <si>
    <t>אימוני סטודיו</t>
  </si>
  <si>
    <t>סה"כ שעות אירוע חברה</t>
  </si>
  <si>
    <t>אימוני חברה</t>
  </si>
  <si>
    <t>חיוב אירוע חברה</t>
  </si>
  <si>
    <t>ינואר</t>
  </si>
  <si>
    <t>עובד בשכר</t>
  </si>
  <si>
    <t>עלות מעביד</t>
  </si>
  <si>
    <t xml:space="preserve"> חיוב מאמנים שעות רגילות</t>
  </si>
  <si>
    <t xml:space="preserve"> חיוב קבלה שעות רגילות</t>
  </si>
  <si>
    <t>חיוב  אימונים אישיים</t>
  </si>
  <si>
    <t>חיוב אימונים סטודיו</t>
  </si>
  <si>
    <t>חיוב אימוני קבוצות</t>
  </si>
  <si>
    <t>חיוב שעות מאמנים</t>
  </si>
  <si>
    <t>כחלק משעות עבודה בפועל</t>
  </si>
  <si>
    <t>ניהול מקצועי</t>
  </si>
  <si>
    <t>עמלות מכירת מנויים ושידרוגים</t>
  </si>
  <si>
    <r>
      <t xml:space="preserve">סה"כ אימונים </t>
    </r>
    <r>
      <rPr>
        <b/>
        <sz val="11"/>
        <color rgb="FF0070C0"/>
        <rFont val="Calibri"/>
        <family val="2"/>
        <scheme val="minor"/>
      </rPr>
      <t>אישיים</t>
    </r>
    <r>
      <rPr>
        <b/>
        <sz val="11"/>
        <color theme="1"/>
        <rFont val="Calibri"/>
        <family val="2"/>
        <scheme val="minor"/>
      </rPr>
      <t xml:space="preserve"> </t>
    </r>
    <r>
      <rPr>
        <b/>
        <sz val="11"/>
        <color rgb="FFFF0000"/>
        <rFont val="Calibri"/>
        <family val="2"/>
        <scheme val="minor"/>
      </rPr>
      <t>לא במשמרת</t>
    </r>
    <r>
      <rPr>
        <b/>
        <sz val="11"/>
        <rFont val="Calibri"/>
        <family val="2"/>
        <scheme val="minor"/>
      </rPr>
      <t xml:space="preserve"> מאמן חיצוני</t>
    </r>
  </si>
  <si>
    <t>חדר כושר</t>
  </si>
  <si>
    <r>
      <t xml:space="preserve">סה"כ משמרת חדר כושר </t>
    </r>
    <r>
      <rPr>
        <b/>
        <sz val="11"/>
        <color rgb="FF0070C0"/>
        <rFont val="Calibri"/>
        <family val="2"/>
        <scheme val="minor"/>
      </rPr>
      <t>חיצוניים</t>
    </r>
  </si>
  <si>
    <t>סה"כ שעות אימוני קבוצות לא במשמרת</t>
  </si>
  <si>
    <t>סה"כ שעות אימוני קבוצות במשמרת</t>
  </si>
  <si>
    <r>
      <t xml:space="preserve">משמרת חדר כושר, </t>
    </r>
    <r>
      <rPr>
        <b/>
        <sz val="12"/>
        <color rgb="FF0070C0"/>
        <rFont val="Calibri"/>
        <family val="2"/>
        <scheme val="minor"/>
      </rPr>
      <t>חיצוני</t>
    </r>
  </si>
  <si>
    <r>
      <t xml:space="preserve">  אימונים </t>
    </r>
    <r>
      <rPr>
        <b/>
        <sz val="11"/>
        <color rgb="FFFF0000"/>
        <rFont val="Calibri"/>
        <family val="2"/>
        <scheme val="minor"/>
      </rPr>
      <t>אישיים לא במשמרת</t>
    </r>
  </si>
  <si>
    <r>
      <t xml:space="preserve">לא במשמרת </t>
    </r>
    <r>
      <rPr>
        <b/>
        <sz val="11"/>
        <color theme="1"/>
        <rFont val="Calibri"/>
        <family val="2"/>
        <charset val="177"/>
        <scheme val="minor"/>
      </rPr>
      <t>אימונים</t>
    </r>
    <r>
      <rPr>
        <b/>
        <sz val="11"/>
        <color rgb="FFFF0000"/>
        <rFont val="Calibri"/>
        <family val="2"/>
        <scheme val="minor"/>
      </rPr>
      <t xml:space="preserve"> קבוצתיים</t>
    </r>
  </si>
  <si>
    <r>
      <t xml:space="preserve">סה"כ שיעורי </t>
    </r>
    <r>
      <rPr>
        <b/>
        <u/>
        <sz val="11"/>
        <color rgb="FFFF0000"/>
        <rFont val="Calibri"/>
        <family val="2"/>
        <scheme val="minor"/>
      </rPr>
      <t>סטודיו</t>
    </r>
    <r>
      <rPr>
        <b/>
        <sz val="11"/>
        <color theme="1"/>
        <rFont val="Calibri"/>
        <family val="2"/>
        <scheme val="minor"/>
      </rPr>
      <t xml:space="preserve"> מאמנים </t>
    </r>
    <r>
      <rPr>
        <b/>
        <sz val="11"/>
        <color rgb="FF0070C0"/>
        <rFont val="Calibri"/>
        <family val="2"/>
        <scheme val="minor"/>
      </rPr>
      <t>פנימיים לא במשמרת</t>
    </r>
  </si>
  <si>
    <r>
      <t>במשמרת</t>
    </r>
    <r>
      <rPr>
        <b/>
        <sz val="11"/>
        <color rgb="FFFF0000"/>
        <rFont val="Calibri"/>
        <family val="2"/>
        <scheme val="minor"/>
      </rPr>
      <t xml:space="preserve"> קבוצתיים מועדון</t>
    </r>
  </si>
  <si>
    <t>נוי אסרף</t>
  </si>
  <si>
    <t>מתקיים מועדון - במשמרת</t>
  </si>
  <si>
    <t>מתקיים מועדון - לא במשמרת</t>
  </si>
  <si>
    <r>
      <t xml:space="preserve">סה"כ שיעורי </t>
    </r>
    <r>
      <rPr>
        <b/>
        <u/>
        <sz val="11"/>
        <color rgb="FFFF0000"/>
        <rFont val="Calibri"/>
        <family val="2"/>
        <scheme val="minor"/>
      </rPr>
      <t>קבוצתיים במשמרת</t>
    </r>
    <r>
      <rPr>
        <b/>
        <sz val="11"/>
        <color theme="1"/>
        <rFont val="Calibri"/>
        <family val="2"/>
        <scheme val="minor"/>
      </rPr>
      <t xml:space="preserve"> מאמנים </t>
    </r>
    <r>
      <rPr>
        <b/>
        <sz val="11"/>
        <color rgb="FF0070C0"/>
        <rFont val="Calibri"/>
        <family val="2"/>
        <scheme val="minor"/>
      </rPr>
      <t>פנימיים</t>
    </r>
  </si>
  <si>
    <r>
      <t xml:space="preserve">סה"כ שיעורי </t>
    </r>
    <r>
      <rPr>
        <b/>
        <u/>
        <sz val="11"/>
        <color rgb="FFFF0000"/>
        <rFont val="Calibri"/>
        <family val="2"/>
        <scheme val="minor"/>
      </rPr>
      <t xml:space="preserve">קבוצתיים </t>
    </r>
    <r>
      <rPr>
        <b/>
        <u/>
        <sz val="11"/>
        <color rgb="FF0070C0"/>
        <rFont val="Calibri"/>
        <family val="2"/>
        <scheme val="minor"/>
      </rPr>
      <t>לא במשמרת</t>
    </r>
    <r>
      <rPr>
        <b/>
        <sz val="11"/>
        <color theme="1"/>
        <rFont val="Calibri"/>
        <family val="2"/>
        <scheme val="minor"/>
      </rPr>
      <t xml:space="preserve"> מאמנים </t>
    </r>
    <r>
      <rPr>
        <b/>
        <sz val="11"/>
        <color rgb="FF0070C0"/>
        <rFont val="Calibri"/>
        <family val="2"/>
        <scheme val="minor"/>
      </rPr>
      <t>פנימיים</t>
    </r>
  </si>
  <si>
    <t>לירון ניסן</t>
  </si>
  <si>
    <r>
      <t xml:space="preserve"> כמות אימונים </t>
    </r>
    <r>
      <rPr>
        <b/>
        <sz val="11"/>
        <color rgb="FFFF0000"/>
        <rFont val="Calibri"/>
        <family val="2"/>
        <scheme val="minor"/>
      </rPr>
      <t xml:space="preserve"> סטודיו</t>
    </r>
  </si>
  <si>
    <t>שעות  חד"כ מאמן חיצוני</t>
  </si>
  <si>
    <t>סה"כ שעות אמונים אישיים קבוצתיים</t>
  </si>
  <si>
    <t>אימונים קבוצתיים וסטודיו</t>
  </si>
  <si>
    <t>שעות אימון אישי קבוצתי לא במשמרת</t>
  </si>
  <si>
    <r>
      <t xml:space="preserve">סה"כ אימונים </t>
    </r>
    <r>
      <rPr>
        <b/>
        <sz val="11"/>
        <color rgb="FF0070C0"/>
        <rFont val="Calibri"/>
        <family val="2"/>
        <scheme val="minor"/>
      </rPr>
      <t>אישיים</t>
    </r>
    <r>
      <rPr>
        <b/>
        <sz val="11"/>
        <color theme="1"/>
        <rFont val="Calibri"/>
        <family val="2"/>
        <scheme val="minor"/>
      </rPr>
      <t xml:space="preserve"> </t>
    </r>
    <r>
      <rPr>
        <b/>
        <sz val="11"/>
        <color rgb="FF0070C0"/>
        <rFont val="Calibri"/>
        <family val="2"/>
        <scheme val="minor"/>
      </rPr>
      <t xml:space="preserve">קבוצתיים </t>
    </r>
    <r>
      <rPr>
        <b/>
        <sz val="11"/>
        <color rgb="FFFF0000"/>
        <rFont val="Calibri"/>
        <family val="2"/>
        <scheme val="minor"/>
      </rPr>
      <t>במשמרת</t>
    </r>
  </si>
  <si>
    <r>
      <t xml:space="preserve">סה"כ אימונים </t>
    </r>
    <r>
      <rPr>
        <b/>
        <sz val="11"/>
        <color rgb="FF0070C0"/>
        <rFont val="Calibri"/>
        <family val="2"/>
        <scheme val="minor"/>
      </rPr>
      <t>אישיים</t>
    </r>
    <r>
      <rPr>
        <b/>
        <sz val="11"/>
        <color theme="1"/>
        <rFont val="Calibri"/>
        <family val="2"/>
        <scheme val="minor"/>
      </rPr>
      <t xml:space="preserve"> </t>
    </r>
    <r>
      <rPr>
        <b/>
        <sz val="11"/>
        <color rgb="FF0070C0"/>
        <rFont val="Calibri"/>
        <family val="2"/>
        <scheme val="minor"/>
      </rPr>
      <t xml:space="preserve">קבוצתיים </t>
    </r>
    <r>
      <rPr>
        <b/>
        <sz val="11"/>
        <color rgb="FFFF0000"/>
        <rFont val="Calibri"/>
        <family val="2"/>
        <scheme val="minor"/>
      </rPr>
      <t>לא במשמרת</t>
    </r>
  </si>
  <si>
    <t>אישי במשמרת</t>
  </si>
  <si>
    <t>אישי לא במשמרת</t>
  </si>
  <si>
    <t>אישי קבוצתי במשמרת</t>
  </si>
  <si>
    <t>אישי קבוצתי לא במשמרת</t>
  </si>
  <si>
    <r>
      <t xml:space="preserve">  אימונים </t>
    </r>
    <r>
      <rPr>
        <b/>
        <sz val="11"/>
        <color rgb="FF00B0F0"/>
        <rFont val="Calibri"/>
        <family val="2"/>
        <scheme val="minor"/>
      </rPr>
      <t>אישיים קבוצתיים</t>
    </r>
    <r>
      <rPr>
        <b/>
        <sz val="11"/>
        <color rgb="FFFF0000"/>
        <rFont val="Calibri"/>
        <family val="2"/>
        <scheme val="minor"/>
      </rPr>
      <t xml:space="preserve"> </t>
    </r>
    <r>
      <rPr>
        <b/>
        <sz val="11"/>
        <rFont val="Calibri"/>
        <family val="2"/>
        <scheme val="minor"/>
      </rPr>
      <t>במשמרת</t>
    </r>
  </si>
  <si>
    <r>
      <rPr>
        <b/>
        <sz val="11"/>
        <rFont val="Calibri"/>
        <family val="2"/>
        <scheme val="minor"/>
      </rPr>
      <t>אימונים</t>
    </r>
    <r>
      <rPr>
        <b/>
        <sz val="11"/>
        <color theme="1"/>
        <rFont val="Calibri"/>
        <family val="2"/>
        <charset val="177"/>
        <scheme val="minor"/>
      </rPr>
      <t xml:space="preserve"> </t>
    </r>
    <r>
      <rPr>
        <b/>
        <sz val="11"/>
        <color rgb="FF00B0F0"/>
        <rFont val="Calibri"/>
        <family val="2"/>
        <scheme val="minor"/>
      </rPr>
      <t>אישיים קבוצתיים</t>
    </r>
    <r>
      <rPr>
        <b/>
        <sz val="11"/>
        <rFont val="Calibri"/>
        <family val="2"/>
        <scheme val="minor"/>
      </rPr>
      <t xml:space="preserve"> לא במשמרת</t>
    </r>
  </si>
  <si>
    <r>
      <t xml:space="preserve">סה"כ שיעורי </t>
    </r>
    <r>
      <rPr>
        <b/>
        <u/>
        <sz val="11"/>
        <color rgb="FFFF0000"/>
        <rFont val="Calibri"/>
        <family val="2"/>
        <scheme val="minor"/>
      </rPr>
      <t>מועדון</t>
    </r>
    <r>
      <rPr>
        <b/>
        <sz val="11"/>
        <color theme="1"/>
        <rFont val="Calibri"/>
        <family val="2"/>
        <scheme val="minor"/>
      </rPr>
      <t xml:space="preserve"> מאמנים </t>
    </r>
    <r>
      <rPr>
        <b/>
        <sz val="11"/>
        <color rgb="FF0070C0"/>
        <rFont val="Calibri"/>
        <family val="2"/>
        <scheme val="minor"/>
      </rPr>
      <t>חיצוניים, לא במשמרת</t>
    </r>
  </si>
  <si>
    <t>סה"כ שעות אמונים אישיים קבוצתייםלא במשמרת</t>
  </si>
  <si>
    <t>שעות אימון אישי קבוצתי במשמרת</t>
  </si>
  <si>
    <r>
      <t>חיוב יזם -</t>
    </r>
    <r>
      <rPr>
        <b/>
        <u/>
        <sz val="11"/>
        <color rgb="FF00B0F0"/>
        <rFont val="Calibri"/>
        <family val="2"/>
        <scheme val="minor"/>
      </rPr>
      <t xml:space="preserve"> חדר כושר</t>
    </r>
  </si>
  <si>
    <t>סטודיו פיאלטיס</t>
  </si>
  <si>
    <r>
      <t xml:space="preserve">  אימונים </t>
    </r>
    <r>
      <rPr>
        <b/>
        <sz val="11"/>
        <color rgb="FF00B050"/>
        <rFont val="Calibri"/>
        <family val="2"/>
        <scheme val="minor"/>
      </rPr>
      <t xml:space="preserve">אישיים סטודיו </t>
    </r>
    <r>
      <rPr>
        <b/>
        <sz val="11"/>
        <rFont val="Calibri"/>
        <family val="2"/>
        <scheme val="minor"/>
      </rPr>
      <t>במשמרת</t>
    </r>
  </si>
  <si>
    <r>
      <rPr>
        <b/>
        <sz val="11"/>
        <rFont val="Calibri"/>
        <family val="2"/>
        <scheme val="minor"/>
      </rPr>
      <t>אימונים</t>
    </r>
    <r>
      <rPr>
        <b/>
        <sz val="11"/>
        <color theme="1"/>
        <rFont val="Calibri"/>
        <family val="2"/>
        <charset val="177"/>
        <scheme val="minor"/>
      </rPr>
      <t xml:space="preserve"> </t>
    </r>
    <r>
      <rPr>
        <b/>
        <sz val="11"/>
        <color rgb="FF00B050"/>
        <rFont val="Calibri"/>
        <family val="2"/>
        <scheme val="minor"/>
      </rPr>
      <t xml:space="preserve">אישיים סטודיו </t>
    </r>
    <r>
      <rPr>
        <b/>
        <sz val="11"/>
        <rFont val="Calibri"/>
        <family val="2"/>
        <scheme val="minor"/>
      </rPr>
      <t>לא במשמרת</t>
    </r>
  </si>
  <si>
    <t>אישי סטודיו במשמרת</t>
  </si>
  <si>
    <t>אישי סטודיו לא במשמרת</t>
  </si>
  <si>
    <r>
      <t xml:space="preserve">סה"כ אימונים </t>
    </r>
    <r>
      <rPr>
        <b/>
        <sz val="11"/>
        <color rgb="FF0070C0"/>
        <rFont val="Calibri"/>
        <family val="2"/>
        <scheme val="minor"/>
      </rPr>
      <t>אישיים</t>
    </r>
    <r>
      <rPr>
        <b/>
        <sz val="11"/>
        <color theme="1"/>
        <rFont val="Calibri"/>
        <family val="2"/>
        <scheme val="minor"/>
      </rPr>
      <t xml:space="preserve"> </t>
    </r>
    <r>
      <rPr>
        <b/>
        <sz val="11"/>
        <color rgb="FF0070C0"/>
        <rFont val="Calibri"/>
        <family val="2"/>
        <scheme val="minor"/>
      </rPr>
      <t xml:space="preserve">סטודיו </t>
    </r>
    <r>
      <rPr>
        <b/>
        <sz val="11"/>
        <color rgb="FFFF0000"/>
        <rFont val="Calibri"/>
        <family val="2"/>
        <scheme val="minor"/>
      </rPr>
      <t>במשמרת</t>
    </r>
  </si>
  <si>
    <r>
      <t xml:space="preserve">סה"כ אימונים </t>
    </r>
    <r>
      <rPr>
        <b/>
        <sz val="11"/>
        <color rgb="FF0070C0"/>
        <rFont val="Calibri"/>
        <family val="2"/>
        <scheme val="minor"/>
      </rPr>
      <t>אישיים</t>
    </r>
    <r>
      <rPr>
        <b/>
        <sz val="11"/>
        <color theme="1"/>
        <rFont val="Calibri"/>
        <family val="2"/>
        <scheme val="minor"/>
      </rPr>
      <t xml:space="preserve"> </t>
    </r>
    <r>
      <rPr>
        <b/>
        <sz val="11"/>
        <color rgb="FF0070C0"/>
        <rFont val="Calibri"/>
        <family val="2"/>
        <scheme val="minor"/>
      </rPr>
      <t xml:space="preserve">סטודיו </t>
    </r>
    <r>
      <rPr>
        <b/>
        <sz val="11"/>
        <color rgb="FFFF0000"/>
        <rFont val="Calibri"/>
        <family val="2"/>
        <scheme val="minor"/>
      </rPr>
      <t>לא במשמרת</t>
    </r>
  </si>
  <si>
    <t>סה"כ  אימוני סטודיו אישי במשמרת</t>
  </si>
  <si>
    <t>סה"כ אימוני סטודיו אישי לא במשמרת</t>
  </si>
  <si>
    <t>סה"כ איי פלוס</t>
  </si>
  <si>
    <t>ערד קוצר</t>
  </si>
  <si>
    <r>
      <t xml:space="preserve">שיעורי סטודיו </t>
    </r>
    <r>
      <rPr>
        <sz val="11"/>
        <color rgb="FFFF0000"/>
        <rFont val="Calibri"/>
        <family val="2"/>
        <scheme val="minor"/>
      </rPr>
      <t>מאמני חוץ</t>
    </r>
  </si>
  <si>
    <r>
      <t xml:space="preserve">אימונים אישיים </t>
    </r>
    <r>
      <rPr>
        <sz val="11"/>
        <color rgb="FFFF0000"/>
        <rFont val="Calibri"/>
        <family val="2"/>
        <scheme val="minor"/>
      </rPr>
      <t>מאמני חוץ</t>
    </r>
  </si>
  <si>
    <r>
      <t xml:space="preserve">אימונים קבוצתיים </t>
    </r>
    <r>
      <rPr>
        <sz val="11"/>
        <color rgb="FFFF0000"/>
        <rFont val="Calibri"/>
        <family val="2"/>
        <scheme val="minor"/>
      </rPr>
      <t>מאמני חוץ</t>
    </r>
  </si>
  <si>
    <r>
      <t xml:space="preserve">ש"ע חדר כושר </t>
    </r>
    <r>
      <rPr>
        <sz val="11"/>
        <color rgb="FFFF0000"/>
        <rFont val="Calibri"/>
        <family val="2"/>
        <scheme val="minor"/>
      </rPr>
      <t>מאמני חוץ</t>
    </r>
  </si>
  <si>
    <r>
      <t xml:space="preserve">סה"כ אימונים </t>
    </r>
    <r>
      <rPr>
        <b/>
        <sz val="11"/>
        <color rgb="FF0070C0"/>
        <rFont val="Calibri"/>
        <family val="2"/>
        <scheme val="minor"/>
      </rPr>
      <t>אישי קבוצתי</t>
    </r>
    <r>
      <rPr>
        <b/>
        <sz val="11"/>
        <color theme="1"/>
        <rFont val="Calibri"/>
        <family val="2"/>
        <scheme val="minor"/>
      </rPr>
      <t xml:space="preserve"> </t>
    </r>
    <r>
      <rPr>
        <b/>
        <sz val="11"/>
        <color rgb="FFFF0000"/>
        <rFont val="Calibri"/>
        <family val="2"/>
        <scheme val="minor"/>
      </rPr>
      <t>לא במשמרת</t>
    </r>
    <r>
      <rPr>
        <b/>
        <sz val="11"/>
        <rFont val="Calibri"/>
        <family val="2"/>
        <scheme val="minor"/>
      </rPr>
      <t xml:space="preserve"> מאמן חיצוני</t>
    </r>
  </si>
  <si>
    <t>אישי קבוצתי</t>
  </si>
  <si>
    <t>אימונים אישי קבוצתי</t>
  </si>
  <si>
    <t xml:space="preserve">ניהול מקצועי </t>
  </si>
  <si>
    <t>עידן וקסר</t>
  </si>
  <si>
    <r>
      <t xml:space="preserve">ניהול מקצועי סטודיו - </t>
    </r>
    <r>
      <rPr>
        <sz val="11"/>
        <color rgb="FFFF0000"/>
        <rFont val="Calibri"/>
        <family val="2"/>
        <scheme val="minor"/>
      </rPr>
      <t>חיצוני</t>
    </r>
  </si>
  <si>
    <t>ניהול חדר כושר</t>
  </si>
  <si>
    <t>נעמה שפירא</t>
  </si>
  <si>
    <t>אימון סטודיו קטן</t>
  </si>
  <si>
    <t>איתן בר אב</t>
  </si>
  <si>
    <t>שעות מדריכים - אימון קבוצתי חוץ</t>
  </si>
  <si>
    <t>שעות מדריכים - אימון קבוצתי משמרת</t>
  </si>
  <si>
    <t>אביבית אלימלך</t>
  </si>
  <si>
    <t>עידו גליקו</t>
  </si>
  <si>
    <t>ניקול אדלמן</t>
  </si>
  <si>
    <t>לנה ברואון</t>
  </si>
  <si>
    <t>יעלה תורן</t>
  </si>
  <si>
    <t>גלעד וייס</t>
  </si>
  <si>
    <t>שעות ניהול</t>
  </si>
  <si>
    <t>בר סידיס</t>
  </si>
  <si>
    <t>סה"כ פקידת קבלה/מכירות</t>
  </si>
  <si>
    <r>
      <t xml:space="preserve">סה"כ משמרת חדר כושר </t>
    </r>
    <r>
      <rPr>
        <b/>
        <sz val="11"/>
        <color rgb="FF0070C0"/>
        <rFont val="Calibri"/>
        <family val="2"/>
        <scheme val="minor"/>
      </rPr>
      <t>פנימי</t>
    </r>
    <r>
      <rPr>
        <b/>
        <sz val="11"/>
        <color theme="1"/>
        <rFont val="Calibri"/>
        <family val="2"/>
        <scheme val="minor"/>
      </rPr>
      <t xml:space="preserve"> </t>
    </r>
    <r>
      <rPr>
        <b/>
        <sz val="11"/>
        <color rgb="FFFF0000"/>
        <rFont val="Calibri"/>
        <family val="2"/>
        <scheme val="minor"/>
      </rPr>
      <t>משמרת</t>
    </r>
  </si>
  <si>
    <r>
      <t xml:space="preserve">משמרת חדר כושר, </t>
    </r>
    <r>
      <rPr>
        <b/>
        <sz val="11"/>
        <color rgb="FF0070C0"/>
        <rFont val="Calibri"/>
        <family val="2"/>
        <scheme val="minor"/>
      </rPr>
      <t>שכירים</t>
    </r>
  </si>
  <si>
    <r>
      <t xml:space="preserve">ש"ע פקידת קבלה/מכירות </t>
    </r>
    <r>
      <rPr>
        <b/>
        <sz val="11"/>
        <color rgb="FF0070C0"/>
        <rFont val="Calibri"/>
        <family val="2"/>
        <scheme val="minor"/>
      </rPr>
      <t>שכירים</t>
    </r>
  </si>
  <si>
    <t>שעות  חד"כ מאמן שכיר</t>
  </si>
  <si>
    <t>קבלה/מכירות שכיר</t>
  </si>
  <si>
    <t>ערב</t>
  </si>
  <si>
    <t>סגירה</t>
  </si>
  <si>
    <t xml:space="preserve">ניהול חדר כושר </t>
  </si>
  <si>
    <t>נטע חן</t>
  </si>
  <si>
    <t>נוי פרוינד צונג</t>
  </si>
  <si>
    <r>
      <t xml:space="preserve">השתלמות - </t>
    </r>
    <r>
      <rPr>
        <sz val="11"/>
        <color rgb="FFFF0000"/>
        <rFont val="Calibri"/>
        <family val="2"/>
        <scheme val="minor"/>
      </rPr>
      <t>חיצוני</t>
    </r>
  </si>
  <si>
    <r>
      <t xml:space="preserve">עמלות מכירת אישיים- </t>
    </r>
    <r>
      <rPr>
        <sz val="11"/>
        <color rgb="FFFF0000"/>
        <rFont val="Calibri"/>
        <family val="2"/>
        <scheme val="minor"/>
      </rPr>
      <t>חיצוני</t>
    </r>
  </si>
  <si>
    <t>בר טלמור</t>
  </si>
  <si>
    <t>נועה כסיף</t>
  </si>
  <si>
    <t>אופל מיוני</t>
  </si>
  <si>
    <t>נועם תבל</t>
  </si>
  <si>
    <t>לאון ורחובסקי</t>
  </si>
  <si>
    <t>ספיר הורוביץ</t>
  </si>
  <si>
    <t>07:00-14:00</t>
  </si>
  <si>
    <t>16:00-20:00</t>
  </si>
  <si>
    <t>17:00-22:00</t>
  </si>
  <si>
    <t>07:00-11:45</t>
  </si>
  <si>
    <t>12:00-16:45</t>
  </si>
  <si>
    <t>מורן קליין</t>
  </si>
  <si>
    <t>רחלי בויום</t>
  </si>
  <si>
    <t>ניר אייזנבך</t>
  </si>
  <si>
    <t>עופרי אורן</t>
  </si>
  <si>
    <t>לינוי מזרחי</t>
  </si>
  <si>
    <t>זוהר בנהדירם</t>
  </si>
  <si>
    <t>ליהי קינר</t>
  </si>
  <si>
    <t>נוי פרוינדר</t>
  </si>
  <si>
    <t>נועם שליו</t>
  </si>
  <si>
    <t>מיכל לוק</t>
  </si>
  <si>
    <t>עלות לאישי כולל מע״מ</t>
  </si>
  <si>
    <t>עלות לאימון קבוצה/סטודיו</t>
  </si>
  <si>
    <t>עלות לשעת משמרת</t>
  </si>
  <si>
    <t>ניב בן חיים</t>
  </si>
  <si>
    <t>נוכחות יוני 26</t>
  </si>
  <si>
    <t>עדן חדד</t>
  </si>
  <si>
    <r>
      <t xml:space="preserve">סה"כ משמרת קבלה </t>
    </r>
    <r>
      <rPr>
        <b/>
        <sz val="11"/>
        <color rgb="FF0070C0"/>
        <rFont val="Calibri"/>
        <family val="2"/>
        <scheme val="minor"/>
      </rPr>
      <t>פנימי</t>
    </r>
    <r>
      <rPr>
        <b/>
        <sz val="11"/>
        <color theme="1"/>
        <rFont val="Calibri"/>
        <family val="2"/>
        <scheme val="minor"/>
      </rPr>
      <t xml:space="preserve"> </t>
    </r>
    <r>
      <rPr>
        <b/>
        <sz val="11"/>
        <color rgb="FFFF0000"/>
        <rFont val="Calibri"/>
        <family val="2"/>
        <scheme val="minor"/>
      </rPr>
      <t>משמרת</t>
    </r>
  </si>
  <si>
    <t>יולי</t>
  </si>
  <si>
    <t>רוני בר</t>
  </si>
  <si>
    <t>אורלי באומל</t>
  </si>
  <si>
    <t>גיל טל</t>
  </si>
  <si>
    <t>רן קיסלוב</t>
  </si>
  <si>
    <t>מאיה זידנר</t>
  </si>
  <si>
    <t>יובל לוי</t>
  </si>
  <si>
    <t>מאיה זיידנר</t>
  </si>
  <si>
    <t>רן קיסלב</t>
  </si>
  <si>
    <t>מס עובד</t>
  </si>
  <si>
    <t>שם משפחה</t>
  </si>
  <si>
    <t>סה"כ לשכר</t>
  </si>
  <si>
    <t>רגילות                    1.00</t>
  </si>
  <si>
    <t>שנ 100%</t>
  </si>
  <si>
    <t>שנ 125%</t>
  </si>
  <si>
    <t>שנ 150%</t>
  </si>
  <si>
    <t>אימון אישי (הסכם 680 )</t>
  </si>
  <si>
    <t>אימון קבוצתי (הסכם 680 )</t>
  </si>
  <si>
    <t>אימון זוגי(הסכם 680 )</t>
  </si>
  <si>
    <t>סה"כ שעות פרוייקט</t>
  </si>
  <si>
    <t>סה"כ ורחובסקי לאוניד</t>
  </si>
  <si>
    <t/>
  </si>
  <si>
    <t>סה"כ קוצר ערד</t>
  </si>
  <si>
    <t>סה"כ בראב איתן</t>
  </si>
  <si>
    <t>סה"כ וייס גלעד</t>
  </si>
  <si>
    <t>סה"כ סידס בר</t>
  </si>
  <si>
    <t>סה"כ מיוני אופל</t>
  </si>
  <si>
    <t>סה"כ תבל נועם</t>
  </si>
  <si>
    <t>סה"כ בן חיים ניב</t>
  </si>
  <si>
    <t>סה"כ כללי</t>
  </si>
  <si>
    <t>מועדון</t>
  </si>
  <si>
    <r>
      <t>מנויים חדשים</t>
    </r>
    <r>
      <rPr>
        <b/>
        <sz val="11"/>
        <color rgb="FFFF0000"/>
        <rFont val="Calibri"/>
        <family val="2"/>
        <scheme val="minor"/>
      </rPr>
      <t xml:space="preserve"> חצי שנתי</t>
    </r>
  </si>
  <si>
    <t>עמלת מכירה מנוי</t>
  </si>
  <si>
    <t>חידוש מנויים /כרטיסייה/אישיים</t>
  </si>
  <si>
    <t>עמלת חידושים</t>
  </si>
  <si>
    <r>
      <t xml:space="preserve">מנויים חדשים </t>
    </r>
    <r>
      <rPr>
        <b/>
        <sz val="11"/>
        <color rgb="FFFF0000"/>
        <rFont val="Calibri"/>
        <family val="2"/>
        <scheme val="minor"/>
      </rPr>
      <t>שנתי</t>
    </r>
    <r>
      <rPr>
        <b/>
        <sz val="11"/>
        <color theme="1"/>
        <rFont val="Calibri"/>
        <family val="2"/>
        <charset val="177"/>
        <scheme val="minor"/>
      </rPr>
      <t xml:space="preserve"> </t>
    </r>
  </si>
  <si>
    <t>עמלת מכירה</t>
  </si>
  <si>
    <r>
      <t>מנויים</t>
    </r>
    <r>
      <rPr>
        <b/>
        <sz val="11"/>
        <color rgb="FFFF0000"/>
        <rFont val="Calibri"/>
        <family val="2"/>
        <scheme val="minor"/>
      </rPr>
      <t xml:space="preserve"> מזומן שנתי</t>
    </r>
  </si>
  <si>
    <t>תוספות - ליווי אפליקציה</t>
  </si>
  <si>
    <t>סה"כ דיווח שכר</t>
  </si>
  <si>
    <t>לאון</t>
  </si>
  <si>
    <t>בר</t>
  </si>
  <si>
    <t>גלעד</t>
  </si>
  <si>
    <t>נועם</t>
  </si>
  <si>
    <t>ערד</t>
  </si>
  <si>
    <t>אופל</t>
  </si>
  <si>
    <t>סה"כ לחיוב כולל 8% ביטוח לאומי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</si>
</sst>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8" formatCode="&quot;₪&quot;#,##0.00_);[Red]\(&quot;₪&quot;#,##0.00\)"/>
    <numFmt numFmtId="164" formatCode="_ &quot;₪&quot;\ * #,##0.00_ ;_ &quot;₪&quot;\ * \-#,##0.00_ ;_ &quot;₪&quot;\ * &quot;-&quot;??_ ;_ @_ "/>
    <numFmt numFmtId="165" formatCode="_ * #,##0.00_ ;_ * \-#,##0.00_ ;_ * &quot;-&quot;??_ ;_ @_ "/>
    <numFmt numFmtId="166" formatCode="0.0"/>
    <numFmt numFmtId="167" formatCode="_ [$₪-40D]\ * #,##0.00_ ;_ [$₪-40D]\ * \-#,##0.00_ ;_ [$₪-40D]\ * &quot;-&quot;??_ ;_ @_ "/>
    <numFmt numFmtId="168" formatCode="&quot;₪&quot;\ #,##0.00"/>
    <numFmt numFmtId="169" formatCode="&quot;₪&quot;\ #,##0"/>
    <numFmt numFmtId="170" formatCode="_ * #,##0_ ;_ * \-#,##0_ ;_ * &quot;-&quot;??_ ;_ @_ "/>
    <numFmt numFmtId="171" formatCode="&quot;₪&quot;\ #,##0.0"/>
    <numFmt numFmtId="172" formatCode="_ &quot;₪&quot;\ * #,##0_ ;_ &quot;₪&quot;\ * \-#,##0_ ;_ &quot;₪&quot;\ * &quot;-&quot;??_ ;_ @_ "/>
    <numFmt numFmtId="173" formatCode="mm/yy"/>
  </numFmts>
  <fonts count="105">
    <font>
      <sz val="11"/>
      <color theme="1"/>
      <name val="Calibri"/>
      <family val="2"/>
      <charset val="177"/>
      <scheme val="minor"/>
    </font>
    <font>
      <sz val="10"/>
      <name val="Arial"/>
      <family val="2"/>
    </font>
    <font>
      <b/>
      <sz val="18"/>
      <name val="David"/>
      <family val="2"/>
    </font>
    <font>
      <b/>
      <sz val="22"/>
      <name val="David"/>
      <family val="2"/>
    </font>
    <font>
      <b/>
      <sz val="10"/>
      <name val="Arial"/>
      <family val="2"/>
    </font>
    <font>
      <sz val="12"/>
      <name val="David"/>
      <family val="2"/>
    </font>
    <font>
      <b/>
      <sz val="16"/>
      <color rgb="FF0070C0"/>
      <name val="David"/>
      <family val="2"/>
    </font>
    <font>
      <b/>
      <sz val="12"/>
      <name val="David"/>
      <family val="2"/>
    </font>
    <font>
      <sz val="12"/>
      <name val="Arial"/>
      <family val="2"/>
    </font>
    <font>
      <b/>
      <sz val="12"/>
      <color rgb="FF000000"/>
      <name val="David"/>
      <family val="2"/>
    </font>
    <font>
      <b/>
      <sz val="16"/>
      <name val="David"/>
      <family val="2"/>
    </font>
    <font>
      <b/>
      <u/>
      <sz val="12"/>
      <name val="David"/>
      <family val="2"/>
    </font>
    <font>
      <b/>
      <u/>
      <sz val="14"/>
      <name val="David"/>
      <family val="2"/>
    </font>
    <font>
      <b/>
      <sz val="14"/>
      <name val="David"/>
      <family val="2"/>
    </font>
    <font>
      <b/>
      <sz val="10"/>
      <name val="David"/>
      <family val="2"/>
    </font>
    <font>
      <sz val="10"/>
      <name val="David"/>
      <family val="2"/>
    </font>
    <font>
      <b/>
      <sz val="10"/>
      <name val="David"/>
      <family val="2"/>
      <charset val="177"/>
    </font>
    <font>
      <b/>
      <sz val="11"/>
      <name val="David"/>
      <family val="2"/>
      <charset val="177"/>
    </font>
    <font>
      <sz val="11"/>
      <name val="David"/>
      <family val="2"/>
    </font>
    <font>
      <b/>
      <sz val="11"/>
      <name val="David"/>
      <family val="2"/>
    </font>
    <font>
      <sz val="10"/>
      <name val="Calibri"/>
      <family val="2"/>
    </font>
    <font>
      <b/>
      <sz val="11"/>
      <name val="Arial"/>
      <family val="2"/>
    </font>
    <font>
      <b/>
      <sz val="14"/>
      <name val="Arial"/>
      <family val="2"/>
    </font>
    <font>
      <b/>
      <sz val="13"/>
      <name val="David"/>
      <family val="2"/>
    </font>
    <font>
      <sz val="13"/>
      <name val="David"/>
      <family val="2"/>
    </font>
    <font>
      <sz val="13"/>
      <name val="Arial"/>
      <family val="2"/>
    </font>
    <font>
      <b/>
      <sz val="12"/>
      <color rgb="FF44546A"/>
      <name val="David"/>
      <family val="2"/>
    </font>
    <font>
      <b/>
      <sz val="11"/>
      <color theme="1"/>
      <name val="Calibri"/>
      <family val="2"/>
      <scheme val="minor"/>
    </font>
    <font>
      <b/>
      <sz val="20"/>
      <color rgb="FF0070C0"/>
      <name val="David"/>
      <family val="2"/>
    </font>
    <font>
      <b/>
      <u/>
      <sz val="11"/>
      <name val="David"/>
      <family val="2"/>
    </font>
    <font>
      <sz val="12"/>
      <color rgb="FF000000"/>
      <name val="David"/>
      <family val="2"/>
    </font>
    <font>
      <b/>
      <sz val="11"/>
      <color rgb="FF000000"/>
      <name val="Arial"/>
      <family val="2"/>
    </font>
    <font>
      <b/>
      <u/>
      <sz val="11"/>
      <name val="Arial"/>
      <family val="2"/>
    </font>
    <font>
      <b/>
      <u/>
      <sz val="10"/>
      <name val="Arial"/>
      <family val="2"/>
    </font>
    <font>
      <b/>
      <u/>
      <sz val="10"/>
      <name val="Arial"/>
      <family val="2"/>
      <charset val="177"/>
    </font>
    <font>
      <b/>
      <u/>
      <sz val="11"/>
      <name val="David"/>
      <family val="2"/>
      <charset val="177"/>
    </font>
    <font>
      <sz val="10"/>
      <name val="Arial"/>
      <family val="2"/>
      <charset val="177"/>
    </font>
    <font>
      <sz val="11"/>
      <color theme="1"/>
      <name val="Calibri"/>
      <family val="2"/>
      <charset val="177"/>
      <scheme val="minor"/>
    </font>
    <font>
      <sz val="10"/>
      <color indexed="8"/>
      <name val="Arial"/>
      <family val="2"/>
    </font>
    <font>
      <sz val="11"/>
      <color indexed="8"/>
      <name val="Calibri"/>
      <family val="2"/>
    </font>
    <font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177"/>
      <scheme val="minor"/>
    </font>
    <font>
      <sz val="10"/>
      <color theme="1"/>
      <name val="Calibri"/>
      <family val="2"/>
      <charset val="177"/>
      <scheme val="minor"/>
    </font>
    <font>
      <b/>
      <i/>
      <sz val="10"/>
      <color theme="1"/>
      <name val="Calibri"/>
      <family val="2"/>
      <scheme val="minor"/>
    </font>
    <font>
      <sz val="9"/>
      <color rgb="FF244880"/>
      <name val="Arial"/>
      <family val="2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charset val="177"/>
      <scheme val="minor"/>
    </font>
    <font>
      <b/>
      <u/>
      <sz val="11"/>
      <color rgb="FFFF0000"/>
      <name val="Calibri"/>
      <family val="2"/>
      <scheme val="minor"/>
    </font>
    <font>
      <b/>
      <sz val="11"/>
      <color rgb="FF0070C0"/>
      <name val="Calibri"/>
      <family val="2"/>
      <scheme val="minor"/>
    </font>
    <font>
      <b/>
      <sz val="12"/>
      <color rgb="FFFF0000"/>
      <name val="David"/>
      <family val="2"/>
    </font>
    <font>
      <b/>
      <u/>
      <sz val="14"/>
      <color theme="1"/>
      <name val="Calibri"/>
      <family val="2"/>
      <scheme val="minor"/>
    </font>
    <font>
      <b/>
      <sz val="12"/>
      <color theme="9" tint="-0.499984740745262"/>
      <name val="David"/>
      <family val="2"/>
    </font>
    <font>
      <b/>
      <sz val="12"/>
      <color theme="7" tint="-0.499984740745262"/>
      <name val="David"/>
      <family val="2"/>
    </font>
    <font>
      <b/>
      <sz val="12"/>
      <color theme="5" tint="-0.499984740745262"/>
      <name val="David"/>
      <family val="2"/>
    </font>
    <font>
      <b/>
      <sz val="10"/>
      <color theme="5" tint="-0.499984740745262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2"/>
      <color rgb="FFCC3300"/>
      <name val="David"/>
      <family val="2"/>
    </font>
    <font>
      <b/>
      <sz val="12"/>
      <color rgb="FF993366"/>
      <name val="David"/>
      <family val="2"/>
    </font>
    <font>
      <b/>
      <sz val="11"/>
      <name val="Calibri"/>
      <family val="2"/>
      <scheme val="minor"/>
    </font>
    <font>
      <b/>
      <sz val="12"/>
      <color rgb="FF333399"/>
      <name val="David"/>
      <family val="2"/>
    </font>
    <font>
      <b/>
      <sz val="12"/>
      <color rgb="FF0070C0"/>
      <name val="Calibri"/>
      <family val="2"/>
      <scheme val="minor"/>
    </font>
    <font>
      <b/>
      <u/>
      <sz val="11"/>
      <color rgb="FF0070C0"/>
      <name val="Calibri"/>
      <family val="2"/>
      <scheme val="minor"/>
    </font>
    <font>
      <sz val="12"/>
      <name val="David"/>
      <family val="2"/>
    </font>
    <font>
      <b/>
      <sz val="12"/>
      <color rgb="FF002060"/>
      <name val="David"/>
      <family val="2"/>
    </font>
    <font>
      <sz val="11"/>
      <color rgb="FFFF0000"/>
      <name val="Calibri"/>
      <family val="2"/>
      <charset val="177"/>
      <scheme val="minor"/>
    </font>
    <font>
      <b/>
      <sz val="11"/>
      <color rgb="FF00B0F0"/>
      <name val="Calibri"/>
      <family val="2"/>
      <scheme val="minor"/>
    </font>
    <font>
      <b/>
      <u/>
      <sz val="14"/>
      <name val="Calibri"/>
      <family val="2"/>
      <charset val="177"/>
      <scheme val="minor"/>
    </font>
    <font>
      <b/>
      <u/>
      <sz val="11"/>
      <color rgb="FF00B0F0"/>
      <name val="Calibri"/>
      <family val="2"/>
      <scheme val="minor"/>
    </font>
    <font>
      <b/>
      <sz val="11"/>
      <color rgb="FF00B050"/>
      <name val="Calibri"/>
      <family val="2"/>
      <scheme val="minor"/>
    </font>
    <font>
      <b/>
      <sz val="12"/>
      <color theme="9" tint="-0.249977111117893"/>
      <name val="David"/>
      <family val="2"/>
    </font>
    <font>
      <sz val="12"/>
      <color theme="9" tint="-0.499984740745262"/>
      <name val="David"/>
      <family val="2"/>
    </font>
    <font>
      <sz val="12"/>
      <color theme="9" tint="-0.249977111117893"/>
      <name val="David"/>
      <family val="2"/>
    </font>
    <font>
      <sz val="11"/>
      <color rgb="FFFF0000"/>
      <name val="Calibri"/>
      <family val="2"/>
      <scheme val="minor"/>
    </font>
    <font>
      <b/>
      <u/>
      <sz val="14"/>
      <name val="Calibri"/>
      <family val="2"/>
      <scheme val="minor"/>
    </font>
    <font>
      <sz val="10"/>
      <color rgb="FF0070C0"/>
      <name val="Arial"/>
      <family val="2"/>
    </font>
    <font>
      <sz val="10"/>
      <color rgb="FF0070C0"/>
      <name val="Calibri"/>
      <family val="2"/>
      <charset val="177"/>
      <scheme val="minor"/>
    </font>
    <font>
      <sz val="10"/>
      <color rgb="FFFF0000"/>
      <name val="Arial"/>
      <family val="2"/>
    </font>
    <font>
      <sz val="12"/>
      <name val="David"/>
      <family val="2"/>
    </font>
    <font>
      <b/>
      <sz val="10"/>
      <color rgb="FFFF0000"/>
      <name val="Arial"/>
      <family val="2"/>
    </font>
    <font>
      <b/>
      <sz val="11"/>
      <color rgb="FFFFC000"/>
      <name val="Calibri"/>
      <family val="2"/>
      <scheme val="minor"/>
    </font>
    <font>
      <sz val="10"/>
      <color rgb="FF00B050"/>
      <name val="Calibri"/>
      <family val="2"/>
      <scheme val="minor"/>
    </font>
    <font>
      <b/>
      <sz val="10"/>
      <color rgb="FFFFC000"/>
      <name val="Calibri"/>
      <family val="2"/>
      <scheme val="minor"/>
    </font>
    <font>
      <sz val="11"/>
      <color rgb="FF0066FF"/>
      <name val="Calibri"/>
      <family val="2"/>
      <scheme val="minor"/>
    </font>
    <font>
      <sz val="10"/>
      <color theme="8" tint="-0.249977111117893"/>
      <name val="Calibri"/>
      <family val="2"/>
      <scheme val="minor"/>
    </font>
    <font>
      <sz val="11"/>
      <color rgb="FFCC3300"/>
      <name val="Calibri"/>
      <family val="2"/>
      <scheme val="minor"/>
    </font>
    <font>
      <sz val="11"/>
      <color rgb="FF0070C0"/>
      <name val="Calibri"/>
      <family val="2"/>
      <charset val="177"/>
      <scheme val="minor"/>
    </font>
    <font>
      <sz val="10"/>
      <color rgb="FFFF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9"/>
      <color rgb="FF111111"/>
      <name val="sans-serif"/>
    </font>
    <font>
      <b/>
      <sz val="9"/>
      <color rgb="FFFFFFFF"/>
      <name val="sans-serif"/>
    </font>
    <font>
      <b/>
      <sz val="9"/>
      <color rgb="FF111111"/>
      <name val="sans-serif"/>
    </font>
    <font>
      <sz val="12"/>
      <color rgb="FF434343"/>
      <name val="Assistant"/>
    </font>
    <font>
      <sz val="10"/>
      <color theme="1"/>
      <name val="Arial"/>
      <family val="2"/>
    </font>
    <font>
      <sz val="12"/>
      <color theme="1"/>
      <name val="Assistant"/>
    </font>
    <font>
      <b/>
      <sz val="9"/>
      <color theme="1"/>
      <name val="Calibri"/>
      <family val="2"/>
      <charset val="177"/>
      <scheme val="minor"/>
    </font>
    <font>
      <b/>
      <sz val="9"/>
      <color rgb="FF000000"/>
      <name val="Tahoma"/>
      <family val="2"/>
    </font>
    <font>
      <sz val="9"/>
      <color rgb="FF000000"/>
      <name val="Tahoma"/>
      <family val="2"/>
    </font>
    <font>
      <sz val="11"/>
      <name val="Calibri"/>
      <family val="2"/>
    </font>
    <font>
      <b/>
      <sz val="14"/>
      <color theme="0"/>
      <name val="Calibri"/>
      <family val="2"/>
      <scheme val="minor"/>
    </font>
    <font>
      <b/>
      <sz val="11"/>
      <color theme="0"/>
      <name val="Calibri"/>
      <family val="2"/>
      <charset val="177"/>
      <scheme val="minor"/>
    </font>
    <font>
      <sz val="11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4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D8D8D8"/>
        <bgColor rgb="FFD8D8D8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BDD6EE"/>
        <bgColor rgb="FFBDD6EE"/>
      </patternFill>
    </fill>
    <fill>
      <patternFill patternType="solid">
        <fgColor rgb="FFFFFF99"/>
        <bgColor rgb="FFFFFF99"/>
      </patternFill>
    </fill>
    <fill>
      <patternFill patternType="solid">
        <fgColor rgb="FFD6DCE4"/>
        <bgColor rgb="FFD6DCE4"/>
      </patternFill>
    </fill>
    <fill>
      <patternFill patternType="solid">
        <fgColor rgb="FFD0CECE"/>
        <bgColor rgb="FFD0CECE"/>
      </patternFill>
    </fill>
    <fill>
      <patternFill patternType="solid">
        <fgColor rgb="FFB4C6E7"/>
        <bgColor rgb="FFB4C6E7"/>
      </patternFill>
    </fill>
    <fill>
      <patternFill patternType="solid">
        <fgColor theme="5"/>
        <bgColor indexed="64"/>
      </patternFill>
    </fill>
    <fill>
      <patternFill patternType="solid">
        <fgColor indexed="22"/>
        <bgColor indexed="0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FFFF"/>
        <bgColor rgb="FF000000"/>
      </patternFill>
    </fill>
    <fill>
      <patternFill patternType="solid">
        <fgColor rgb="FFFF0000"/>
        <bgColor rgb="FFD0CECE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rgb="FFEBEBFF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0" tint="-0.34998626667073579"/>
        <bgColor rgb="FFD8D8D8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76ABDC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59999389629810485"/>
        <bgColor rgb="FFBDD6EE"/>
      </patternFill>
    </fill>
    <fill>
      <patternFill patternType="solid">
        <fgColor theme="0" tint="-0.249977111117893"/>
        <bgColor rgb="FFBDD6EE"/>
      </patternFill>
    </fill>
    <fill>
      <patternFill patternType="solid">
        <fgColor rgb="FFFFFFFF"/>
        <bgColor rgb="FFFFFFFF"/>
      </patternFill>
    </fill>
    <fill>
      <patternFill patternType="solid">
        <fgColor rgb="FF42B1CC"/>
        <bgColor rgb="FF42B1CC"/>
      </patternFill>
    </fill>
    <fill>
      <patternFill patternType="solid">
        <fgColor rgb="FFE6F4FF"/>
        <bgColor rgb="FFE6F4FF"/>
      </patternFill>
    </fill>
    <fill>
      <patternFill patternType="solid">
        <fgColor rgb="FFC6E7FF"/>
        <bgColor rgb="FFC6E7FF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4"/>
        <bgColor theme="4"/>
      </patternFill>
    </fill>
  </fills>
  <borders count="74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theme="4" tint="0.39997558519241921"/>
      </top>
      <bottom/>
      <diagonal/>
    </border>
    <border>
      <left style="thin">
        <color rgb="FFC8D1DB"/>
      </left>
      <right style="thin">
        <color rgb="FFC8D1DB"/>
      </right>
      <top style="thin">
        <color rgb="FFC8D1DB"/>
      </top>
      <bottom style="thin">
        <color rgb="FFC8D1DB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 style="thin">
        <color rgb="FFC8D1DB"/>
      </left>
      <right style="medium">
        <color auto="1"/>
      </right>
      <top style="thin">
        <color rgb="FFC8D1DB"/>
      </top>
      <bottom style="thin">
        <color rgb="FFC8D1DB"/>
      </bottom>
      <diagonal/>
    </border>
    <border>
      <left/>
      <right/>
      <top style="thin">
        <color rgb="FFC8D1DB"/>
      </top>
      <bottom style="thin">
        <color rgb="FFC8D1DB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rgb="FF000000"/>
      </left>
      <right/>
      <top style="medium">
        <color indexed="64"/>
      </top>
      <bottom style="medium">
        <color indexed="64"/>
      </bottom>
      <diagonal/>
    </border>
  </borders>
  <cellStyleXfs count="127">
    <xf numFmtId="0" fontId="0" fillId="0" borderId="0"/>
    <xf numFmtId="164" fontId="37" fillId="0" borderId="0" applyFont="0" applyFill="0" applyBorder="0" applyAlignment="0" applyProtection="0"/>
    <xf numFmtId="0" fontId="38" fillId="0" borderId="0"/>
    <xf numFmtId="0" fontId="40" fillId="0" borderId="0"/>
    <xf numFmtId="165" fontId="37" fillId="0" borderId="0" applyFont="0" applyFill="0" applyBorder="0" applyAlignment="0" applyProtection="0"/>
    <xf numFmtId="0" fontId="37" fillId="28" borderId="0" applyNumberFormat="0" applyBorder="0" applyAlignment="0" applyProtection="0"/>
    <xf numFmtId="164" fontId="37" fillId="0" borderId="0" applyFont="0" applyFill="0" applyBorder="0" applyAlignment="0" applyProtection="0"/>
    <xf numFmtId="165" fontId="37" fillId="0" borderId="0" applyFont="0" applyFill="0" applyBorder="0" applyAlignment="0" applyProtection="0"/>
    <xf numFmtId="0" fontId="37" fillId="31" borderId="0" applyNumberFormat="0" applyBorder="0" applyAlignment="0" applyProtection="0"/>
    <xf numFmtId="164" fontId="37" fillId="0" borderId="0" applyFont="0" applyFill="0" applyBorder="0" applyAlignment="0" applyProtection="0"/>
    <xf numFmtId="165" fontId="37" fillId="0" borderId="0" applyFont="0" applyFill="0" applyBorder="0" applyAlignment="0" applyProtection="0"/>
    <xf numFmtId="164" fontId="37" fillId="0" borderId="0" applyFont="0" applyFill="0" applyBorder="0" applyAlignment="0" applyProtection="0"/>
    <xf numFmtId="165" fontId="37" fillId="0" borderId="0" applyFont="0" applyFill="0" applyBorder="0" applyAlignment="0" applyProtection="0"/>
    <xf numFmtId="164" fontId="37" fillId="0" borderId="0" applyFont="0" applyFill="0" applyBorder="0" applyAlignment="0" applyProtection="0"/>
    <xf numFmtId="165" fontId="37" fillId="0" borderId="0" applyFont="0" applyFill="0" applyBorder="0" applyAlignment="0" applyProtection="0"/>
    <xf numFmtId="164" fontId="37" fillId="0" borderId="0" applyFont="0" applyFill="0" applyBorder="0" applyAlignment="0" applyProtection="0"/>
    <xf numFmtId="165" fontId="37" fillId="0" borderId="0" applyFont="0" applyFill="0" applyBorder="0" applyAlignment="0" applyProtection="0"/>
    <xf numFmtId="164" fontId="37" fillId="0" borderId="0" applyFont="0" applyFill="0" applyBorder="0" applyAlignment="0" applyProtection="0"/>
    <xf numFmtId="165" fontId="37" fillId="0" borderId="0" applyFont="0" applyFill="0" applyBorder="0" applyAlignment="0" applyProtection="0"/>
    <xf numFmtId="164" fontId="37" fillId="0" borderId="0" applyFont="0" applyFill="0" applyBorder="0" applyAlignment="0" applyProtection="0"/>
    <xf numFmtId="165" fontId="37" fillId="0" borderId="0" applyFont="0" applyFill="0" applyBorder="0" applyAlignment="0" applyProtection="0"/>
    <xf numFmtId="0" fontId="37" fillId="31" borderId="0" applyNumberFormat="0" applyBorder="0" applyAlignment="0" applyProtection="0"/>
    <xf numFmtId="164" fontId="37" fillId="0" borderId="0" applyFont="0" applyFill="0" applyBorder="0" applyAlignment="0" applyProtection="0"/>
    <xf numFmtId="165" fontId="37" fillId="0" borderId="0" applyFont="0" applyFill="0" applyBorder="0" applyAlignment="0" applyProtection="0"/>
    <xf numFmtId="164" fontId="37" fillId="0" borderId="0" applyFont="0" applyFill="0" applyBorder="0" applyAlignment="0" applyProtection="0"/>
    <xf numFmtId="165" fontId="37" fillId="0" borderId="0" applyFont="0" applyFill="0" applyBorder="0" applyAlignment="0" applyProtection="0"/>
    <xf numFmtId="164" fontId="37" fillId="0" borderId="0" applyFont="0" applyFill="0" applyBorder="0" applyAlignment="0" applyProtection="0"/>
    <xf numFmtId="165" fontId="37" fillId="0" borderId="0" applyFont="0" applyFill="0" applyBorder="0" applyAlignment="0" applyProtection="0"/>
    <xf numFmtId="164" fontId="37" fillId="0" borderId="0" applyFont="0" applyFill="0" applyBorder="0" applyAlignment="0" applyProtection="0"/>
    <xf numFmtId="165" fontId="37" fillId="0" borderId="0" applyFont="0" applyFill="0" applyBorder="0" applyAlignment="0" applyProtection="0"/>
    <xf numFmtId="164" fontId="37" fillId="0" borderId="0" applyFont="0" applyFill="0" applyBorder="0" applyAlignment="0" applyProtection="0"/>
    <xf numFmtId="165" fontId="37" fillId="0" borderId="0" applyFont="0" applyFill="0" applyBorder="0" applyAlignment="0" applyProtection="0"/>
    <xf numFmtId="164" fontId="37" fillId="0" borderId="0" applyFont="0" applyFill="0" applyBorder="0" applyAlignment="0" applyProtection="0"/>
    <xf numFmtId="165" fontId="37" fillId="0" borderId="0" applyFont="0" applyFill="0" applyBorder="0" applyAlignment="0" applyProtection="0"/>
    <xf numFmtId="164" fontId="37" fillId="0" borderId="0" applyFont="0" applyFill="0" applyBorder="0" applyAlignment="0" applyProtection="0"/>
    <xf numFmtId="165" fontId="37" fillId="0" borderId="0" applyFont="0" applyFill="0" applyBorder="0" applyAlignment="0" applyProtection="0"/>
    <xf numFmtId="164" fontId="37" fillId="0" borderId="0" applyFont="0" applyFill="0" applyBorder="0" applyAlignment="0" applyProtection="0"/>
    <xf numFmtId="165" fontId="37" fillId="0" borderId="0" applyFont="0" applyFill="0" applyBorder="0" applyAlignment="0" applyProtection="0"/>
    <xf numFmtId="164" fontId="37" fillId="0" borderId="0" applyFont="0" applyFill="0" applyBorder="0" applyAlignment="0" applyProtection="0"/>
    <xf numFmtId="165" fontId="37" fillId="0" borderId="0" applyFont="0" applyFill="0" applyBorder="0" applyAlignment="0" applyProtection="0"/>
    <xf numFmtId="164" fontId="37" fillId="0" borderId="0" applyFont="0" applyFill="0" applyBorder="0" applyAlignment="0" applyProtection="0"/>
    <xf numFmtId="165" fontId="37" fillId="0" borderId="0" applyFont="0" applyFill="0" applyBorder="0" applyAlignment="0" applyProtection="0"/>
    <xf numFmtId="164" fontId="37" fillId="0" borderId="0" applyFont="0" applyFill="0" applyBorder="0" applyAlignment="0" applyProtection="0"/>
    <xf numFmtId="165" fontId="37" fillId="0" borderId="0" applyFont="0" applyFill="0" applyBorder="0" applyAlignment="0" applyProtection="0"/>
    <xf numFmtId="164" fontId="37" fillId="0" borderId="0" applyFont="0" applyFill="0" applyBorder="0" applyAlignment="0" applyProtection="0"/>
    <xf numFmtId="165" fontId="37" fillId="0" borderId="0" applyFont="0" applyFill="0" applyBorder="0" applyAlignment="0" applyProtection="0"/>
    <xf numFmtId="0" fontId="90" fillId="0" borderId="0"/>
    <xf numFmtId="164" fontId="37" fillId="0" borderId="0" applyFont="0" applyFill="0" applyBorder="0" applyAlignment="0" applyProtection="0"/>
    <xf numFmtId="165" fontId="37" fillId="0" borderId="0" applyFont="0" applyFill="0" applyBorder="0" applyAlignment="0" applyProtection="0"/>
    <xf numFmtId="164" fontId="37" fillId="0" borderId="0" applyFont="0" applyFill="0" applyBorder="0" applyAlignment="0" applyProtection="0"/>
    <xf numFmtId="165" fontId="37" fillId="0" borderId="0" applyFont="0" applyFill="0" applyBorder="0" applyAlignment="0" applyProtection="0"/>
    <xf numFmtId="164" fontId="37" fillId="0" borderId="0" applyFont="0" applyFill="0" applyBorder="0" applyAlignment="0" applyProtection="0"/>
    <xf numFmtId="165" fontId="37" fillId="0" borderId="0" applyFont="0" applyFill="0" applyBorder="0" applyAlignment="0" applyProtection="0"/>
    <xf numFmtId="164" fontId="37" fillId="0" borderId="0" applyFont="0" applyFill="0" applyBorder="0" applyAlignment="0" applyProtection="0"/>
    <xf numFmtId="165" fontId="37" fillId="0" borderId="0" applyFont="0" applyFill="0" applyBorder="0" applyAlignment="0" applyProtection="0"/>
    <xf numFmtId="164" fontId="37" fillId="0" borderId="0" applyFont="0" applyFill="0" applyBorder="0" applyAlignment="0" applyProtection="0"/>
    <xf numFmtId="165" fontId="37" fillId="0" borderId="0" applyFont="0" applyFill="0" applyBorder="0" applyAlignment="0" applyProtection="0"/>
    <xf numFmtId="164" fontId="37" fillId="0" borderId="0" applyFont="0" applyFill="0" applyBorder="0" applyAlignment="0" applyProtection="0"/>
    <xf numFmtId="165" fontId="37" fillId="0" borderId="0" applyFont="0" applyFill="0" applyBorder="0" applyAlignment="0" applyProtection="0"/>
    <xf numFmtId="164" fontId="37" fillId="0" borderId="0" applyFont="0" applyFill="0" applyBorder="0" applyAlignment="0" applyProtection="0"/>
    <xf numFmtId="165" fontId="37" fillId="0" borderId="0" applyFont="0" applyFill="0" applyBorder="0" applyAlignment="0" applyProtection="0"/>
    <xf numFmtId="164" fontId="37" fillId="0" borderId="0" applyFont="0" applyFill="0" applyBorder="0" applyAlignment="0" applyProtection="0"/>
    <xf numFmtId="165" fontId="37" fillId="0" borderId="0" applyFont="0" applyFill="0" applyBorder="0" applyAlignment="0" applyProtection="0"/>
    <xf numFmtId="164" fontId="37" fillId="0" borderId="0" applyFont="0" applyFill="0" applyBorder="0" applyAlignment="0" applyProtection="0"/>
    <xf numFmtId="165" fontId="37" fillId="0" borderId="0" applyFont="0" applyFill="0" applyBorder="0" applyAlignment="0" applyProtection="0"/>
    <xf numFmtId="164" fontId="37" fillId="0" borderId="0" applyFont="0" applyFill="0" applyBorder="0" applyAlignment="0" applyProtection="0"/>
    <xf numFmtId="165" fontId="37" fillId="0" borderId="0" applyFont="0" applyFill="0" applyBorder="0" applyAlignment="0" applyProtection="0"/>
    <xf numFmtId="164" fontId="37" fillId="0" borderId="0" applyFont="0" applyFill="0" applyBorder="0" applyAlignment="0" applyProtection="0"/>
    <xf numFmtId="165" fontId="37" fillId="0" borderId="0" applyFont="0" applyFill="0" applyBorder="0" applyAlignment="0" applyProtection="0"/>
    <xf numFmtId="164" fontId="37" fillId="0" borderId="0" applyFont="0" applyFill="0" applyBorder="0" applyAlignment="0" applyProtection="0"/>
    <xf numFmtId="165" fontId="37" fillId="0" borderId="0" applyFont="0" applyFill="0" applyBorder="0" applyAlignment="0" applyProtection="0"/>
    <xf numFmtId="164" fontId="37" fillId="0" borderId="0" applyFont="0" applyFill="0" applyBorder="0" applyAlignment="0" applyProtection="0"/>
    <xf numFmtId="165" fontId="37" fillId="0" borderId="0" applyFont="0" applyFill="0" applyBorder="0" applyAlignment="0" applyProtection="0"/>
    <xf numFmtId="164" fontId="37" fillId="0" borderId="0" applyFont="0" applyFill="0" applyBorder="0" applyAlignment="0" applyProtection="0"/>
    <xf numFmtId="165" fontId="37" fillId="0" borderId="0" applyFont="0" applyFill="0" applyBorder="0" applyAlignment="0" applyProtection="0"/>
    <xf numFmtId="164" fontId="37" fillId="0" borderId="0" applyFont="0" applyFill="0" applyBorder="0" applyAlignment="0" applyProtection="0"/>
    <xf numFmtId="165" fontId="37" fillId="0" borderId="0" applyFont="0" applyFill="0" applyBorder="0" applyAlignment="0" applyProtection="0"/>
    <xf numFmtId="164" fontId="37" fillId="0" borderId="0" applyFont="0" applyFill="0" applyBorder="0" applyAlignment="0" applyProtection="0"/>
    <xf numFmtId="165" fontId="37" fillId="0" borderId="0" applyFont="0" applyFill="0" applyBorder="0" applyAlignment="0" applyProtection="0"/>
    <xf numFmtId="164" fontId="37" fillId="0" borderId="0" applyFont="0" applyFill="0" applyBorder="0" applyAlignment="0" applyProtection="0"/>
    <xf numFmtId="165" fontId="37" fillId="0" borderId="0" applyFont="0" applyFill="0" applyBorder="0" applyAlignment="0" applyProtection="0"/>
    <xf numFmtId="164" fontId="37" fillId="0" borderId="0" applyFont="0" applyFill="0" applyBorder="0" applyAlignment="0" applyProtection="0"/>
    <xf numFmtId="165" fontId="37" fillId="0" borderId="0" applyFont="0" applyFill="0" applyBorder="0" applyAlignment="0" applyProtection="0"/>
    <xf numFmtId="164" fontId="37" fillId="0" borderId="0" applyFont="0" applyFill="0" applyBorder="0" applyAlignment="0" applyProtection="0"/>
    <xf numFmtId="165" fontId="37" fillId="0" borderId="0" applyFont="0" applyFill="0" applyBorder="0" applyAlignment="0" applyProtection="0"/>
    <xf numFmtId="164" fontId="37" fillId="0" borderId="0" applyFont="0" applyFill="0" applyBorder="0" applyAlignment="0" applyProtection="0"/>
    <xf numFmtId="165" fontId="37" fillId="0" borderId="0" applyFont="0" applyFill="0" applyBorder="0" applyAlignment="0" applyProtection="0"/>
    <xf numFmtId="164" fontId="37" fillId="0" borderId="0" applyFont="0" applyFill="0" applyBorder="0" applyAlignment="0" applyProtection="0"/>
    <xf numFmtId="165" fontId="37" fillId="0" borderId="0" applyFont="0" applyFill="0" applyBorder="0" applyAlignment="0" applyProtection="0"/>
    <xf numFmtId="164" fontId="37" fillId="0" borderId="0" applyFont="0" applyFill="0" applyBorder="0" applyAlignment="0" applyProtection="0"/>
    <xf numFmtId="165" fontId="37" fillId="0" borderId="0" applyFont="0" applyFill="0" applyBorder="0" applyAlignment="0" applyProtection="0"/>
    <xf numFmtId="164" fontId="37" fillId="0" borderId="0" applyFont="0" applyFill="0" applyBorder="0" applyAlignment="0" applyProtection="0"/>
    <xf numFmtId="165" fontId="37" fillId="0" borderId="0" applyFont="0" applyFill="0" applyBorder="0" applyAlignment="0" applyProtection="0"/>
    <xf numFmtId="164" fontId="37" fillId="0" borderId="0" applyFont="0" applyFill="0" applyBorder="0" applyAlignment="0" applyProtection="0"/>
    <xf numFmtId="165" fontId="37" fillId="0" borderId="0" applyFont="0" applyFill="0" applyBorder="0" applyAlignment="0" applyProtection="0"/>
    <xf numFmtId="164" fontId="37" fillId="0" borderId="0" applyFont="0" applyFill="0" applyBorder="0" applyAlignment="0" applyProtection="0"/>
    <xf numFmtId="165" fontId="37" fillId="0" borderId="0" applyFont="0" applyFill="0" applyBorder="0" applyAlignment="0" applyProtection="0"/>
    <xf numFmtId="164" fontId="37" fillId="0" borderId="0" applyFont="0" applyFill="0" applyBorder="0" applyAlignment="0" applyProtection="0"/>
    <xf numFmtId="165" fontId="37" fillId="0" borderId="0" applyFont="0" applyFill="0" applyBorder="0" applyAlignment="0" applyProtection="0"/>
    <xf numFmtId="164" fontId="37" fillId="0" borderId="0" applyFont="0" applyFill="0" applyBorder="0" applyAlignment="0" applyProtection="0"/>
    <xf numFmtId="165" fontId="37" fillId="0" borderId="0" applyFont="0" applyFill="0" applyBorder="0" applyAlignment="0" applyProtection="0"/>
    <xf numFmtId="164" fontId="37" fillId="0" borderId="0" applyFont="0" applyFill="0" applyBorder="0" applyAlignment="0" applyProtection="0"/>
    <xf numFmtId="165" fontId="37" fillId="0" borderId="0" applyFont="0" applyFill="0" applyBorder="0" applyAlignment="0" applyProtection="0"/>
    <xf numFmtId="164" fontId="37" fillId="0" borderId="0" applyFont="0" applyFill="0" applyBorder="0" applyAlignment="0" applyProtection="0"/>
    <xf numFmtId="165" fontId="37" fillId="0" borderId="0" applyFont="0" applyFill="0" applyBorder="0" applyAlignment="0" applyProtection="0"/>
    <xf numFmtId="164" fontId="37" fillId="0" borderId="0" applyFont="0" applyFill="0" applyBorder="0" applyAlignment="0" applyProtection="0"/>
    <xf numFmtId="165" fontId="37" fillId="0" borderId="0" applyFont="0" applyFill="0" applyBorder="0" applyAlignment="0" applyProtection="0"/>
    <xf numFmtId="164" fontId="37" fillId="0" borderId="0" applyFont="0" applyFill="0" applyBorder="0" applyAlignment="0" applyProtection="0"/>
    <xf numFmtId="165" fontId="37" fillId="0" borderId="0" applyFont="0" applyFill="0" applyBorder="0" applyAlignment="0" applyProtection="0"/>
    <xf numFmtId="164" fontId="37" fillId="0" borderId="0" applyFont="0" applyFill="0" applyBorder="0" applyAlignment="0" applyProtection="0"/>
    <xf numFmtId="165" fontId="37" fillId="0" borderId="0" applyFont="0" applyFill="0" applyBorder="0" applyAlignment="0" applyProtection="0"/>
    <xf numFmtId="164" fontId="37" fillId="0" borderId="0" applyFont="0" applyFill="0" applyBorder="0" applyAlignment="0" applyProtection="0"/>
    <xf numFmtId="165" fontId="37" fillId="0" borderId="0" applyFont="0" applyFill="0" applyBorder="0" applyAlignment="0" applyProtection="0"/>
    <xf numFmtId="164" fontId="37" fillId="0" borderId="0" applyFont="0" applyFill="0" applyBorder="0" applyAlignment="0" applyProtection="0"/>
    <xf numFmtId="165" fontId="37" fillId="0" borderId="0" applyFont="0" applyFill="0" applyBorder="0" applyAlignment="0" applyProtection="0"/>
    <xf numFmtId="164" fontId="37" fillId="0" borderId="0" applyFont="0" applyFill="0" applyBorder="0" applyAlignment="0" applyProtection="0"/>
    <xf numFmtId="165" fontId="37" fillId="0" borderId="0" applyFont="0" applyFill="0" applyBorder="0" applyAlignment="0" applyProtection="0"/>
    <xf numFmtId="164" fontId="37" fillId="0" borderId="0" applyFont="0" applyFill="0" applyBorder="0" applyAlignment="0" applyProtection="0"/>
    <xf numFmtId="165" fontId="37" fillId="0" borderId="0" applyFont="0" applyFill="0" applyBorder="0" applyAlignment="0" applyProtection="0"/>
    <xf numFmtId="164" fontId="37" fillId="0" borderId="0" applyFont="0" applyFill="0" applyBorder="0" applyAlignment="0" applyProtection="0"/>
    <xf numFmtId="165" fontId="37" fillId="0" borderId="0" applyFont="0" applyFill="0" applyBorder="0" applyAlignment="0" applyProtection="0"/>
    <xf numFmtId="164" fontId="37" fillId="0" borderId="0" applyFont="0" applyFill="0" applyBorder="0" applyAlignment="0" applyProtection="0"/>
    <xf numFmtId="165" fontId="37" fillId="0" borderId="0" applyFont="0" applyFill="0" applyBorder="0" applyAlignment="0" applyProtection="0"/>
    <xf numFmtId="164" fontId="37" fillId="0" borderId="0" applyFont="0" applyFill="0" applyBorder="0" applyAlignment="0" applyProtection="0"/>
    <xf numFmtId="165" fontId="37" fillId="0" borderId="0" applyFont="0" applyFill="0" applyBorder="0" applyAlignment="0" applyProtection="0"/>
    <xf numFmtId="164" fontId="37" fillId="0" borderId="0" applyFont="0" applyFill="0" applyBorder="0" applyAlignment="0" applyProtection="0"/>
    <xf numFmtId="165" fontId="37" fillId="0" borderId="0" applyFont="0" applyFill="0" applyBorder="0" applyAlignment="0" applyProtection="0"/>
  </cellStyleXfs>
  <cellXfs count="381">
    <xf numFmtId="0" fontId="0" fillId="0" borderId="0" xfId="0"/>
    <xf numFmtId="0" fontId="1" fillId="0" borderId="1" xfId="0" applyFont="1" applyBorder="1"/>
    <xf numFmtId="0" fontId="2" fillId="0" borderId="1" xfId="0" applyFont="1" applyBorder="1"/>
    <xf numFmtId="0" fontId="3" fillId="0" borderId="1" xfId="0" applyFont="1" applyBorder="1"/>
    <xf numFmtId="0" fontId="4" fillId="0" borderId="1" xfId="0" applyFont="1" applyBorder="1" applyAlignment="1">
      <alignment horizontal="center"/>
    </xf>
    <xf numFmtId="0" fontId="1" fillId="0" borderId="2" xfId="0" applyFont="1" applyBorder="1"/>
    <xf numFmtId="0" fontId="5" fillId="0" borderId="0" xfId="0" applyFont="1"/>
    <xf numFmtId="0" fontId="5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7" fillId="0" borderId="0" xfId="0" applyFont="1"/>
    <xf numFmtId="0" fontId="8" fillId="0" borderId="3" xfId="0" applyFont="1" applyBorder="1"/>
    <xf numFmtId="0" fontId="9" fillId="0" borderId="0" xfId="0" applyFont="1"/>
    <xf numFmtId="0" fontId="10" fillId="0" borderId="0" xfId="0" applyFont="1" applyAlignment="1">
      <alignment horizontal="left"/>
    </xf>
    <xf numFmtId="17" fontId="11" fillId="0" borderId="0" xfId="0" applyNumberFormat="1" applyFont="1" applyAlignment="1">
      <alignment horizontal="center"/>
    </xf>
    <xf numFmtId="0" fontId="11" fillId="0" borderId="0" xfId="0" applyFont="1" applyAlignment="1">
      <alignment horizontal="right"/>
    </xf>
    <xf numFmtId="0" fontId="12" fillId="0" borderId="0" xfId="0" applyFont="1"/>
    <xf numFmtId="0" fontId="13" fillId="0" borderId="0" xfId="0" applyFont="1"/>
    <xf numFmtId="0" fontId="8" fillId="0" borderId="0" xfId="0" applyFont="1"/>
    <xf numFmtId="0" fontId="14" fillId="0" borderId="0" xfId="0" applyFont="1" applyAlignment="1">
      <alignment horizontal="center"/>
    </xf>
    <xf numFmtId="0" fontId="15" fillId="0" borderId="0" xfId="0" applyFont="1"/>
    <xf numFmtId="0" fontId="15" fillId="0" borderId="0" xfId="0" applyFont="1" applyAlignment="1">
      <alignment horizontal="center"/>
    </xf>
    <xf numFmtId="0" fontId="1" fillId="0" borderId="3" xfId="0" applyFont="1" applyBorder="1"/>
    <xf numFmtId="0" fontId="4" fillId="0" borderId="3" xfId="0" applyFont="1" applyBorder="1" applyAlignment="1">
      <alignment horizontal="center"/>
    </xf>
    <xf numFmtId="14" fontId="16" fillId="2" borderId="8" xfId="0" applyNumberFormat="1" applyFont="1" applyFill="1" applyBorder="1" applyAlignment="1">
      <alignment horizontal="center" vertical="center" wrapText="1"/>
    </xf>
    <xf numFmtId="0" fontId="16" fillId="2" borderId="8" xfId="0" applyFont="1" applyFill="1" applyBorder="1" applyAlignment="1">
      <alignment horizontal="center" vertical="center" wrapText="1"/>
    </xf>
    <xf numFmtId="0" fontId="17" fillId="2" borderId="8" xfId="0" applyFont="1" applyFill="1" applyBorder="1" applyAlignment="1">
      <alignment horizontal="center" vertical="center" wrapText="1"/>
    </xf>
    <xf numFmtId="0" fontId="21" fillId="0" borderId="8" xfId="0" applyFont="1" applyBorder="1" applyAlignment="1">
      <alignment horizontal="center" vertical="center" wrapText="1"/>
    </xf>
    <xf numFmtId="0" fontId="22" fillId="0" borderId="3" xfId="0" applyFont="1" applyBorder="1"/>
    <xf numFmtId="0" fontId="25" fillId="0" borderId="3" xfId="0" applyFont="1" applyBorder="1"/>
    <xf numFmtId="0" fontId="14" fillId="0" borderId="10" xfId="0" applyFont="1" applyBorder="1" applyAlignment="1">
      <alignment horizontal="center"/>
    </xf>
    <xf numFmtId="0" fontId="1" fillId="0" borderId="10" xfId="0" applyFont="1" applyBorder="1"/>
    <xf numFmtId="0" fontId="15" fillId="0" borderId="10" xfId="0" applyFont="1" applyBorder="1"/>
    <xf numFmtId="0" fontId="1" fillId="0" borderId="11" xfId="0" applyFont="1" applyBorder="1"/>
    <xf numFmtId="0" fontId="26" fillId="0" borderId="12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14" fillId="0" borderId="4" xfId="0" applyFont="1" applyBorder="1" applyAlignment="1">
      <alignment horizontal="center" vertical="center"/>
    </xf>
    <xf numFmtId="0" fontId="14" fillId="0" borderId="5" xfId="0" applyFont="1" applyBorder="1" applyAlignment="1">
      <alignment horizontal="center" vertical="center"/>
    </xf>
    <xf numFmtId="0" fontId="14" fillId="0" borderId="6" xfId="0" applyFont="1" applyBorder="1" applyAlignment="1">
      <alignment horizontal="center" vertical="center"/>
    </xf>
    <xf numFmtId="0" fontId="14" fillId="0" borderId="7" xfId="0" applyFont="1" applyBorder="1" applyAlignment="1">
      <alignment horizontal="center" vertical="center"/>
    </xf>
    <xf numFmtId="166" fontId="18" fillId="0" borderId="9" xfId="0" applyNumberFormat="1" applyFont="1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2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2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4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167" fontId="7" fillId="0" borderId="8" xfId="0" applyNumberFormat="1" applyFont="1" applyBorder="1" applyAlignment="1">
      <alignment horizontal="center" vertical="center"/>
    </xf>
    <xf numFmtId="2" fontId="7" fillId="6" borderId="8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0" fillId="0" borderId="0" xfId="0" applyFont="1" applyAlignment="1">
      <alignment horizontal="center" vertical="center"/>
    </xf>
    <xf numFmtId="2" fontId="22" fillId="0" borderId="0" xfId="0" applyNumberFormat="1" applyFont="1" applyAlignment="1">
      <alignment horizontal="center" vertical="center"/>
    </xf>
    <xf numFmtId="9" fontId="5" fillId="0" borderId="17" xfId="0" applyNumberFormat="1" applyFont="1" applyBorder="1" applyAlignment="1">
      <alignment horizontal="center" vertical="center"/>
    </xf>
    <xf numFmtId="0" fontId="5" fillId="0" borderId="17" xfId="0" applyFont="1" applyBorder="1" applyAlignment="1">
      <alignment horizontal="center" vertical="center"/>
    </xf>
    <xf numFmtId="164" fontId="30" fillId="0" borderId="16" xfId="0" applyNumberFormat="1" applyFont="1" applyBorder="1" applyAlignment="1">
      <alignment horizontal="center" vertical="center"/>
    </xf>
    <xf numFmtId="164" fontId="7" fillId="5" borderId="17" xfId="0" applyNumberFormat="1" applyFont="1" applyFill="1" applyBorder="1" applyAlignment="1">
      <alignment horizontal="center" vertical="center"/>
    </xf>
    <xf numFmtId="164" fontId="7" fillId="8" borderId="17" xfId="0" applyNumberFormat="1" applyFont="1" applyFill="1" applyBorder="1" applyAlignment="1">
      <alignment horizontal="center" vertical="center"/>
    </xf>
    <xf numFmtId="0" fontId="31" fillId="0" borderId="0" xfId="0" applyFont="1" applyAlignment="1">
      <alignment horizontal="center" vertical="center" readingOrder="2"/>
    </xf>
    <xf numFmtId="0" fontId="32" fillId="0" borderId="0" xfId="0" applyFont="1" applyAlignment="1">
      <alignment horizontal="center" vertical="center"/>
    </xf>
    <xf numFmtId="9" fontId="5" fillId="0" borderId="19" xfId="0" applyNumberFormat="1" applyFont="1" applyBorder="1" applyAlignment="1">
      <alignment horizontal="center" vertical="center"/>
    </xf>
    <xf numFmtId="0" fontId="5" fillId="0" borderId="19" xfId="0" applyFont="1" applyBorder="1" applyAlignment="1">
      <alignment horizontal="center" vertical="center"/>
    </xf>
    <xf numFmtId="164" fontId="30" fillId="0" borderId="20" xfId="0" applyNumberFormat="1" applyFont="1" applyBorder="1" applyAlignment="1">
      <alignment horizontal="center" vertical="center"/>
    </xf>
    <xf numFmtId="164" fontId="7" fillId="5" borderId="19" xfId="0" applyNumberFormat="1" applyFont="1" applyFill="1" applyBorder="1" applyAlignment="1">
      <alignment horizontal="center" vertical="center"/>
    </xf>
    <xf numFmtId="0" fontId="11" fillId="10" borderId="21" xfId="0" applyFont="1" applyFill="1" applyBorder="1" applyAlignment="1">
      <alignment horizontal="center" vertical="center" wrapText="1"/>
    </xf>
    <xf numFmtId="0" fontId="29" fillId="10" borderId="22" xfId="0" applyFont="1" applyFill="1" applyBorder="1" applyAlignment="1">
      <alignment horizontal="center" vertical="center" wrapText="1"/>
    </xf>
    <xf numFmtId="0" fontId="29" fillId="10" borderId="23" xfId="0" applyFont="1" applyFill="1" applyBorder="1" applyAlignment="1">
      <alignment horizontal="center" vertical="center" wrapText="1"/>
    </xf>
    <xf numFmtId="0" fontId="34" fillId="10" borderId="21" xfId="0" applyFont="1" applyFill="1" applyBorder="1" applyAlignment="1">
      <alignment horizontal="center" vertical="center" wrapText="1"/>
    </xf>
    <xf numFmtId="0" fontId="35" fillId="10" borderId="22" xfId="0" applyFont="1" applyFill="1" applyBorder="1" applyAlignment="1">
      <alignment horizontal="center" vertical="center" wrapText="1"/>
    </xf>
    <xf numFmtId="0" fontId="35" fillId="10" borderId="23" xfId="0" applyFont="1" applyFill="1" applyBorder="1" applyAlignment="1">
      <alignment horizontal="center" vertical="center" wrapText="1"/>
    </xf>
    <xf numFmtId="0" fontId="36" fillId="4" borderId="8" xfId="0" applyFont="1" applyFill="1" applyBorder="1" applyAlignment="1">
      <alignment horizontal="center" vertical="center" wrapText="1"/>
    </xf>
    <xf numFmtId="2" fontId="4" fillId="0" borderId="8" xfId="0" applyNumberFormat="1" applyFont="1" applyBorder="1" applyAlignment="1">
      <alignment horizontal="center" vertical="center"/>
    </xf>
    <xf numFmtId="0" fontId="4" fillId="0" borderId="27" xfId="0" applyFont="1" applyBorder="1" applyAlignment="1">
      <alignment horizontal="center" vertical="center"/>
    </xf>
    <xf numFmtId="0" fontId="4" fillId="0" borderId="28" xfId="0" applyFont="1" applyBorder="1" applyAlignment="1">
      <alignment horizontal="center" vertical="center"/>
    </xf>
    <xf numFmtId="14" fontId="0" fillId="0" borderId="0" xfId="0" applyNumberFormat="1"/>
    <xf numFmtId="21" fontId="0" fillId="0" borderId="0" xfId="0" applyNumberFormat="1"/>
    <xf numFmtId="0" fontId="0" fillId="0" borderId="0" xfId="0" pivotButton="1"/>
    <xf numFmtId="0" fontId="0" fillId="0" borderId="0" xfId="0" applyAlignment="1">
      <alignment horizontal="right"/>
    </xf>
    <xf numFmtId="0" fontId="39" fillId="11" borderId="33" xfId="2" applyFont="1" applyFill="1" applyBorder="1" applyAlignment="1">
      <alignment horizontal="center" wrapText="1"/>
    </xf>
    <xf numFmtId="14" fontId="39" fillId="0" borderId="34" xfId="2" applyNumberFormat="1" applyFont="1" applyBorder="1" applyAlignment="1">
      <alignment horizontal="right"/>
    </xf>
    <xf numFmtId="0" fontId="39" fillId="0" borderId="34" xfId="2" applyFont="1" applyBorder="1"/>
    <xf numFmtId="0" fontId="39" fillId="0" borderId="34" xfId="2" applyFont="1" applyBorder="1" applyAlignment="1">
      <alignment horizontal="right"/>
    </xf>
    <xf numFmtId="20" fontId="5" fillId="0" borderId="0" xfId="0" applyNumberFormat="1" applyFont="1"/>
    <xf numFmtId="0" fontId="7" fillId="7" borderId="40" xfId="0" applyFont="1" applyFill="1" applyBorder="1" applyAlignment="1">
      <alignment horizontal="center" vertical="center"/>
    </xf>
    <xf numFmtId="2" fontId="7" fillId="0" borderId="41" xfId="0" applyNumberFormat="1" applyFont="1" applyBorder="1" applyAlignment="1">
      <alignment horizontal="center" vertical="center"/>
    </xf>
    <xf numFmtId="2" fontId="5" fillId="0" borderId="39" xfId="0" applyNumberFormat="1" applyFont="1" applyBorder="1" applyAlignment="1">
      <alignment horizontal="center" vertical="center"/>
    </xf>
    <xf numFmtId="0" fontId="33" fillId="0" borderId="35" xfId="0" applyFont="1" applyBorder="1" applyAlignment="1">
      <alignment horizontal="center" vertical="center"/>
    </xf>
    <xf numFmtId="168" fontId="1" fillId="0" borderId="43" xfId="0" applyNumberFormat="1" applyFont="1" applyBorder="1" applyAlignment="1">
      <alignment horizontal="center" vertical="center"/>
    </xf>
    <xf numFmtId="0" fontId="1" fillId="0" borderId="44" xfId="0" applyFont="1" applyBorder="1" applyAlignment="1">
      <alignment horizontal="center" vertical="center"/>
    </xf>
    <xf numFmtId="0" fontId="4" fillId="0" borderId="44" xfId="0" applyFont="1" applyBorder="1" applyAlignment="1">
      <alignment horizontal="center" vertical="center"/>
    </xf>
    <xf numFmtId="0" fontId="7" fillId="0" borderId="13" xfId="0" applyFont="1" applyBorder="1" applyAlignment="1">
      <alignment horizontal="center" vertical="center"/>
    </xf>
    <xf numFmtId="17" fontId="13" fillId="0" borderId="14" xfId="0" applyNumberFormat="1" applyFont="1" applyBorder="1" applyAlignment="1">
      <alignment horizontal="center" vertical="center"/>
    </xf>
    <xf numFmtId="16" fontId="0" fillId="0" borderId="0" xfId="0" applyNumberFormat="1"/>
    <xf numFmtId="0" fontId="0" fillId="0" borderId="8" xfId="0" applyBorder="1" applyAlignment="1">
      <alignment horizontal="center" vertical="center"/>
    </xf>
    <xf numFmtId="0" fontId="41" fillId="0" borderId="24" xfId="0" applyFont="1" applyBorder="1" applyAlignment="1">
      <alignment horizontal="center" vertical="center"/>
    </xf>
    <xf numFmtId="164" fontId="7" fillId="15" borderId="19" xfId="1" applyFont="1" applyFill="1" applyBorder="1" applyAlignment="1">
      <alignment horizontal="center" vertical="center"/>
    </xf>
    <xf numFmtId="0" fontId="6" fillId="0" borderId="0" xfId="0" applyFont="1" applyAlignment="1">
      <alignment horizontal="center" vertical="center" readingOrder="2"/>
    </xf>
    <xf numFmtId="0" fontId="43" fillId="0" borderId="0" xfId="0" applyFont="1"/>
    <xf numFmtId="0" fontId="16" fillId="16" borderId="8" xfId="0" applyFont="1" applyFill="1" applyBorder="1" applyAlignment="1">
      <alignment horizontal="center" vertical="center" wrapText="1"/>
    </xf>
    <xf numFmtId="0" fontId="16" fillId="17" borderId="8" xfId="0" applyFont="1" applyFill="1" applyBorder="1" applyAlignment="1">
      <alignment horizontal="center" vertical="center" wrapText="1"/>
    </xf>
    <xf numFmtId="0" fontId="16" fillId="0" borderId="8" xfId="0" applyFont="1" applyBorder="1" applyAlignment="1">
      <alignment horizontal="center" vertical="center" wrapText="1"/>
    </xf>
    <xf numFmtId="0" fontId="44" fillId="0" borderId="0" xfId="0" applyFont="1"/>
    <xf numFmtId="166" fontId="19" fillId="0" borderId="9" xfId="0" applyNumberFormat="1" applyFont="1" applyBorder="1" applyAlignment="1">
      <alignment horizontal="center" vertical="center"/>
    </xf>
    <xf numFmtId="166" fontId="15" fillId="0" borderId="9" xfId="0" applyNumberFormat="1" applyFont="1" applyBorder="1" applyAlignment="1">
      <alignment horizontal="center" vertical="center"/>
    </xf>
    <xf numFmtId="166" fontId="19" fillId="0" borderId="9" xfId="0" applyNumberFormat="1" applyFont="1" applyBorder="1" applyAlignment="1">
      <alignment horizontal="center" vertical="center" wrapText="1"/>
    </xf>
    <xf numFmtId="166" fontId="20" fillId="0" borderId="9" xfId="0" applyNumberFormat="1" applyFont="1" applyBorder="1" applyAlignment="1">
      <alignment horizontal="center" vertical="center"/>
    </xf>
    <xf numFmtId="0" fontId="0" fillId="0" borderId="0" xfId="0" applyAlignment="1">
      <alignment vertical="center"/>
    </xf>
    <xf numFmtId="2" fontId="19" fillId="3" borderId="8" xfId="0" applyNumberFormat="1" applyFont="1" applyFill="1" applyBorder="1" applyAlignment="1">
      <alignment horizontal="center" vertical="center"/>
    </xf>
    <xf numFmtId="0" fontId="0" fillId="0" borderId="52" xfId="0" applyBorder="1" applyAlignment="1">
      <alignment horizontal="right"/>
    </xf>
    <xf numFmtId="0" fontId="27" fillId="12" borderId="24" xfId="0" applyFont="1" applyFill="1" applyBorder="1" applyAlignment="1">
      <alignment horizontal="right"/>
    </xf>
    <xf numFmtId="0" fontId="27" fillId="12" borderId="26" xfId="0" applyFont="1" applyFill="1" applyBorder="1"/>
    <xf numFmtId="0" fontId="27" fillId="12" borderId="29" xfId="0" applyFont="1" applyFill="1" applyBorder="1" applyAlignment="1">
      <alignment horizontal="right"/>
    </xf>
    <xf numFmtId="0" fontId="27" fillId="12" borderId="31" xfId="0" applyFont="1" applyFill="1" applyBorder="1" applyAlignment="1">
      <alignment horizontal="right"/>
    </xf>
    <xf numFmtId="0" fontId="45" fillId="14" borderId="50" xfId="0" applyFont="1" applyFill="1" applyBorder="1" applyAlignment="1" applyProtection="1">
      <alignment horizontal="right" vertical="top" wrapText="1" readingOrder="1"/>
      <protection locked="0"/>
    </xf>
    <xf numFmtId="164" fontId="1" fillId="0" borderId="0" xfId="0" applyNumberFormat="1" applyFon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7" fillId="0" borderId="42" xfId="0" applyFont="1" applyBorder="1" applyAlignment="1">
      <alignment horizontal="center" vertical="center"/>
    </xf>
    <xf numFmtId="0" fontId="7" fillId="0" borderId="55" xfId="0" applyFont="1" applyBorder="1" applyAlignment="1">
      <alignment horizontal="center" vertical="center"/>
    </xf>
    <xf numFmtId="0" fontId="2" fillId="0" borderId="0" xfId="0" applyFont="1" applyAlignment="1">
      <alignment vertical="center"/>
    </xf>
    <xf numFmtId="0" fontId="28" fillId="0" borderId="0" xfId="0" applyFont="1" applyAlignment="1">
      <alignment vertical="center" readingOrder="2"/>
    </xf>
    <xf numFmtId="167" fontId="1" fillId="0" borderId="0" xfId="0" applyNumberFormat="1" applyFont="1" applyAlignment="1">
      <alignment horizontal="center" vertical="center"/>
    </xf>
    <xf numFmtId="0" fontId="4" fillId="0" borderId="27" xfId="0" applyFont="1" applyBorder="1" applyAlignment="1">
      <alignment horizontal="center" vertical="center" wrapText="1"/>
    </xf>
    <xf numFmtId="2" fontId="4" fillId="0" borderId="0" xfId="0" applyNumberFormat="1" applyFont="1" applyAlignment="1">
      <alignment horizontal="center" vertical="center"/>
    </xf>
    <xf numFmtId="0" fontId="0" fillId="0" borderId="52" xfId="0" applyBorder="1" applyAlignment="1">
      <alignment horizontal="center" vertical="center"/>
    </xf>
    <xf numFmtId="0" fontId="42" fillId="13" borderId="12" xfId="0" applyFont="1" applyFill="1" applyBorder="1"/>
    <xf numFmtId="0" fontId="42" fillId="13" borderId="13" xfId="0" applyFont="1" applyFill="1" applyBorder="1" applyAlignment="1">
      <alignment horizontal="center" wrapText="1"/>
    </xf>
    <xf numFmtId="0" fontId="42" fillId="13" borderId="14" xfId="0" applyFont="1" applyFill="1" applyBorder="1" applyAlignment="1">
      <alignment horizontal="center" wrapText="1"/>
    </xf>
    <xf numFmtId="0" fontId="27" fillId="12" borderId="23" xfId="0" applyFont="1" applyFill="1" applyBorder="1" applyAlignment="1">
      <alignment wrapText="1"/>
    </xf>
    <xf numFmtId="0" fontId="27" fillId="0" borderId="22" xfId="0" applyFont="1" applyBorder="1" applyAlignment="1">
      <alignment horizontal="center" vertical="center"/>
    </xf>
    <xf numFmtId="2" fontId="7" fillId="0" borderId="39" xfId="0" applyNumberFormat="1" applyFont="1" applyBorder="1" applyAlignment="1">
      <alignment horizontal="center" vertical="center"/>
    </xf>
    <xf numFmtId="2" fontId="7" fillId="0" borderId="8" xfId="0" applyNumberFormat="1" applyFont="1" applyBorder="1" applyAlignment="1">
      <alignment horizontal="center" vertical="center"/>
    </xf>
    <xf numFmtId="2" fontId="5" fillId="23" borderId="39" xfId="0" applyNumberFormat="1" applyFont="1" applyFill="1" applyBorder="1" applyAlignment="1">
      <alignment horizontal="center" vertical="center"/>
    </xf>
    <xf numFmtId="2" fontId="51" fillId="6" borderId="8" xfId="0" applyNumberFormat="1" applyFont="1" applyFill="1" applyBorder="1" applyAlignment="1">
      <alignment horizontal="center" vertical="center"/>
    </xf>
    <xf numFmtId="1" fontId="5" fillId="21" borderId="18" xfId="0" applyNumberFormat="1" applyFont="1" applyFill="1" applyBorder="1" applyAlignment="1">
      <alignment horizontal="center" vertical="center"/>
    </xf>
    <xf numFmtId="1" fontId="5" fillId="18" borderId="18" xfId="0" applyNumberFormat="1" applyFont="1" applyFill="1" applyBorder="1" applyAlignment="1">
      <alignment horizontal="center" vertical="center"/>
    </xf>
    <xf numFmtId="1" fontId="5" fillId="22" borderId="18" xfId="0" applyNumberFormat="1" applyFont="1" applyFill="1" applyBorder="1" applyAlignment="1">
      <alignment horizontal="center" vertical="center"/>
    </xf>
    <xf numFmtId="0" fontId="54" fillId="21" borderId="55" xfId="0" applyFont="1" applyFill="1" applyBorder="1" applyAlignment="1">
      <alignment horizontal="center" vertical="center"/>
    </xf>
    <xf numFmtId="0" fontId="55" fillId="22" borderId="55" xfId="0" applyFont="1" applyFill="1" applyBorder="1" applyAlignment="1">
      <alignment horizontal="center" vertical="center"/>
    </xf>
    <xf numFmtId="1" fontId="5" fillId="25" borderId="59" xfId="0" applyNumberFormat="1" applyFont="1" applyFill="1" applyBorder="1" applyAlignment="1">
      <alignment horizontal="center" vertical="center"/>
    </xf>
    <xf numFmtId="1" fontId="5" fillId="26" borderId="59" xfId="0" applyNumberFormat="1" applyFont="1" applyFill="1" applyBorder="1" applyAlignment="1">
      <alignment horizontal="center" vertical="center"/>
    </xf>
    <xf numFmtId="0" fontId="59" fillId="25" borderId="55" xfId="0" applyFont="1" applyFill="1" applyBorder="1" applyAlignment="1">
      <alignment horizontal="center" vertical="center"/>
    </xf>
    <xf numFmtId="0" fontId="60" fillId="26" borderId="55" xfId="0" applyFont="1" applyFill="1" applyBorder="1" applyAlignment="1">
      <alignment horizontal="center" vertical="center"/>
    </xf>
    <xf numFmtId="0" fontId="34" fillId="10" borderId="42" xfId="0" applyFont="1" applyFill="1" applyBorder="1" applyAlignment="1">
      <alignment horizontal="center" vertical="center" wrapText="1"/>
    </xf>
    <xf numFmtId="0" fontId="27" fillId="12" borderId="53" xfId="0" applyFont="1" applyFill="1" applyBorder="1" applyAlignment="1">
      <alignment vertical="top" wrapText="1"/>
    </xf>
    <xf numFmtId="0" fontId="27" fillId="12" borderId="22" xfId="0" applyFont="1" applyFill="1" applyBorder="1" applyAlignment="1">
      <alignment vertical="top" wrapText="1"/>
    </xf>
    <xf numFmtId="0" fontId="27" fillId="12" borderId="22" xfId="0" applyFont="1" applyFill="1" applyBorder="1" applyAlignment="1">
      <alignment horizontal="center" vertical="top" wrapText="1"/>
    </xf>
    <xf numFmtId="0" fontId="4" fillId="0" borderId="39" xfId="0" applyFont="1" applyBorder="1" applyAlignment="1">
      <alignment horizontal="center" vertical="center" wrapText="1"/>
    </xf>
    <xf numFmtId="0" fontId="4" fillId="0" borderId="39" xfId="0" applyFont="1" applyBorder="1" applyAlignment="1">
      <alignment horizontal="center" vertical="center"/>
    </xf>
    <xf numFmtId="1" fontId="0" fillId="0" borderId="52" xfId="0" applyNumberFormat="1" applyBorder="1" applyAlignment="1">
      <alignment horizontal="right"/>
    </xf>
    <xf numFmtId="165" fontId="1" fillId="0" borderId="0" xfId="0" applyNumberFormat="1" applyFont="1" applyAlignment="1">
      <alignment horizontal="center" vertical="center"/>
    </xf>
    <xf numFmtId="165" fontId="4" fillId="0" borderId="0" xfId="0" applyNumberFormat="1" applyFont="1" applyAlignment="1">
      <alignment horizontal="center" vertical="center"/>
    </xf>
    <xf numFmtId="1" fontId="5" fillId="18" borderId="59" xfId="0" applyNumberFormat="1" applyFont="1" applyFill="1" applyBorder="1" applyAlignment="1">
      <alignment horizontal="center" vertical="center"/>
    </xf>
    <xf numFmtId="1" fontId="5" fillId="21" borderId="59" xfId="0" applyNumberFormat="1" applyFont="1" applyFill="1" applyBorder="1" applyAlignment="1">
      <alignment horizontal="center" vertical="center"/>
    </xf>
    <xf numFmtId="1" fontId="5" fillId="22" borderId="59" xfId="0" applyNumberFormat="1" applyFont="1" applyFill="1" applyBorder="1" applyAlignment="1">
      <alignment horizontal="center" vertical="center"/>
    </xf>
    <xf numFmtId="1" fontId="5" fillId="26" borderId="39" xfId="0" applyNumberFormat="1" applyFont="1" applyFill="1" applyBorder="1" applyAlignment="1">
      <alignment horizontal="center" vertical="center"/>
    </xf>
    <xf numFmtId="0" fontId="4" fillId="0" borderId="24" xfId="0" applyFont="1" applyBorder="1" applyAlignment="1">
      <alignment horizontal="center" vertical="center" wrapText="1"/>
    </xf>
    <xf numFmtId="0" fontId="4" fillId="0" borderId="60" xfId="0" applyFont="1" applyBorder="1" applyAlignment="1">
      <alignment horizontal="center" vertical="center" wrapText="1"/>
    </xf>
    <xf numFmtId="2" fontId="4" fillId="27" borderId="25" xfId="0" applyNumberFormat="1" applyFont="1" applyFill="1" applyBorder="1" applyAlignment="1">
      <alignment horizontal="center" vertical="center"/>
    </xf>
    <xf numFmtId="0" fontId="4" fillId="0" borderId="26" xfId="0" applyFont="1" applyBorder="1" applyAlignment="1">
      <alignment horizontal="center" vertical="center"/>
    </xf>
    <xf numFmtId="0" fontId="48" fillId="0" borderId="0" xfId="0" applyFont="1" applyAlignment="1">
      <alignment horizontal="center" vertical="center"/>
    </xf>
    <xf numFmtId="0" fontId="48" fillId="0" borderId="0" xfId="0" applyFont="1"/>
    <xf numFmtId="165" fontId="7" fillId="23" borderId="39" xfId="4" applyFont="1" applyFill="1" applyBorder="1" applyAlignment="1">
      <alignment horizontal="center" vertical="center"/>
    </xf>
    <xf numFmtId="167" fontId="36" fillId="0" borderId="39" xfId="0" applyNumberFormat="1" applyFont="1" applyBorder="1" applyAlignment="1">
      <alignment horizontal="center" vertical="center"/>
    </xf>
    <xf numFmtId="0" fontId="4" fillId="0" borderId="0" xfId="0" applyFont="1" applyAlignment="1">
      <alignment horizontal="right" vertical="center" readingOrder="2"/>
    </xf>
    <xf numFmtId="1" fontId="27" fillId="0" borderId="52" xfId="0" applyNumberFormat="1" applyFont="1" applyBorder="1" applyAlignment="1">
      <alignment horizontal="right"/>
    </xf>
    <xf numFmtId="0" fontId="4" fillId="0" borderId="8" xfId="0" applyFont="1" applyBorder="1" applyAlignment="1">
      <alignment horizontal="center" vertical="center" wrapText="1"/>
    </xf>
    <xf numFmtId="0" fontId="48" fillId="0" borderId="52" xfId="0" applyFont="1" applyBorder="1" applyAlignment="1">
      <alignment horizontal="right"/>
    </xf>
    <xf numFmtId="0" fontId="0" fillId="0" borderId="27" xfId="0" applyBorder="1" applyAlignment="1">
      <alignment horizontal="center" vertical="center"/>
    </xf>
    <xf numFmtId="1" fontId="37" fillId="28" borderId="59" xfId="5" applyNumberFormat="1" applyBorder="1" applyAlignment="1">
      <alignment horizontal="center" vertical="center"/>
    </xf>
    <xf numFmtId="0" fontId="62" fillId="28" borderId="55" xfId="5" applyFont="1" applyBorder="1" applyAlignment="1">
      <alignment horizontal="center" vertical="center"/>
    </xf>
    <xf numFmtId="0" fontId="27" fillId="13" borderId="13" xfId="0" applyFont="1" applyFill="1" applyBorder="1" applyAlignment="1">
      <alignment horizontal="center" wrapText="1"/>
    </xf>
    <xf numFmtId="0" fontId="27" fillId="12" borderId="12" xfId="0" applyFont="1" applyFill="1" applyBorder="1" applyAlignment="1">
      <alignment horizontal="right"/>
    </xf>
    <xf numFmtId="0" fontId="27" fillId="12" borderId="21" xfId="0" applyFont="1" applyFill="1" applyBorder="1"/>
    <xf numFmtId="0" fontId="27" fillId="12" borderId="42" xfId="0" applyFont="1" applyFill="1" applyBorder="1" applyAlignment="1">
      <alignment horizontal="center" vertical="center"/>
    </xf>
    <xf numFmtId="0" fontId="27" fillId="12" borderId="14" xfId="0" applyFont="1" applyFill="1" applyBorder="1"/>
    <xf numFmtId="167" fontId="1" fillId="0" borderId="39" xfId="0" applyNumberFormat="1" applyFont="1" applyBorder="1" applyAlignment="1">
      <alignment horizontal="center" vertical="center"/>
    </xf>
    <xf numFmtId="167" fontId="1" fillId="0" borderId="8" xfId="0" applyNumberFormat="1" applyFont="1" applyBorder="1" applyAlignment="1">
      <alignment horizontal="center" vertical="center"/>
    </xf>
    <xf numFmtId="0" fontId="27" fillId="12" borderId="23" xfId="0" applyFont="1" applyFill="1" applyBorder="1" applyAlignment="1">
      <alignment horizontal="right" wrapText="1"/>
    </xf>
    <xf numFmtId="165" fontId="0" fillId="0" borderId="0" xfId="4" applyFont="1" applyAlignment="1">
      <alignment horizontal="center" vertical="center"/>
    </xf>
    <xf numFmtId="20" fontId="0" fillId="0" borderId="0" xfId="0" applyNumberFormat="1"/>
    <xf numFmtId="2" fontId="19" fillId="29" borderId="8" xfId="0" applyNumberFormat="1" applyFont="1" applyFill="1" applyBorder="1" applyAlignment="1">
      <alignment horizontal="center" vertical="center"/>
    </xf>
    <xf numFmtId="0" fontId="4" fillId="30" borderId="39" xfId="0" applyFont="1" applyFill="1" applyBorder="1" applyAlignment="1">
      <alignment horizontal="center" vertical="center" wrapText="1"/>
    </xf>
    <xf numFmtId="1" fontId="48" fillId="28" borderId="18" xfId="5" applyNumberFormat="1" applyFont="1" applyBorder="1" applyAlignment="1">
      <alignment horizontal="center" vertical="center"/>
    </xf>
    <xf numFmtId="2" fontId="65" fillId="0" borderId="39" xfId="0" applyNumberFormat="1" applyFont="1" applyBorder="1" applyAlignment="1">
      <alignment horizontal="center" vertical="center"/>
    </xf>
    <xf numFmtId="0" fontId="48" fillId="0" borderId="8" xfId="0" applyFont="1" applyBorder="1" applyAlignment="1">
      <alignment horizontal="center" vertical="center"/>
    </xf>
    <xf numFmtId="0" fontId="52" fillId="0" borderId="0" xfId="0" applyFont="1" applyAlignment="1">
      <alignment vertical="center"/>
    </xf>
    <xf numFmtId="0" fontId="27" fillId="12" borderId="61" xfId="0" applyFont="1" applyFill="1" applyBorder="1" applyAlignment="1">
      <alignment horizontal="right" wrapText="1"/>
    </xf>
    <xf numFmtId="0" fontId="27" fillId="12" borderId="14" xfId="0" applyFont="1" applyFill="1" applyBorder="1" applyAlignment="1">
      <alignment horizontal="center" wrapText="1"/>
    </xf>
    <xf numFmtId="1" fontId="37" fillId="31" borderId="59" xfId="8" applyNumberFormat="1" applyBorder="1" applyAlignment="1">
      <alignment horizontal="center" vertical="center"/>
    </xf>
    <xf numFmtId="0" fontId="52" fillId="0" borderId="0" xfId="0" applyFont="1" applyAlignment="1">
      <alignment horizontal="center" vertical="center"/>
    </xf>
    <xf numFmtId="0" fontId="67" fillId="0" borderId="0" xfId="0" applyFont="1" applyAlignment="1">
      <alignment horizontal="center" vertical="center"/>
    </xf>
    <xf numFmtId="0" fontId="47" fillId="19" borderId="54" xfId="0" applyFont="1" applyFill="1" applyBorder="1"/>
    <xf numFmtId="0" fontId="47" fillId="19" borderId="52" xfId="0" applyFont="1" applyFill="1" applyBorder="1"/>
    <xf numFmtId="1" fontId="47" fillId="19" borderId="52" xfId="0" applyNumberFormat="1" applyFont="1" applyFill="1" applyBorder="1"/>
    <xf numFmtId="166" fontId="61" fillId="0" borderId="52" xfId="0" applyNumberFormat="1" applyFont="1" applyBorder="1"/>
    <xf numFmtId="0" fontId="47" fillId="0" borderId="0" xfId="0" applyFont="1" applyAlignment="1">
      <alignment horizontal="center" vertical="center"/>
    </xf>
    <xf numFmtId="0" fontId="27" fillId="13" borderId="14" xfId="0" applyFont="1" applyFill="1" applyBorder="1" applyAlignment="1">
      <alignment horizontal="center" wrapText="1"/>
    </xf>
    <xf numFmtId="0" fontId="27" fillId="12" borderId="22" xfId="0" applyFont="1" applyFill="1" applyBorder="1" applyAlignment="1">
      <alignment horizontal="right" wrapText="1"/>
    </xf>
    <xf numFmtId="0" fontId="27" fillId="12" borderId="21" xfId="0" applyFont="1" applyFill="1" applyBorder="1" applyAlignment="1">
      <alignment horizontal="right" wrapText="1"/>
    </xf>
    <xf numFmtId="0" fontId="47" fillId="0" borderId="8" xfId="0" applyFont="1" applyBorder="1" applyAlignment="1">
      <alignment horizontal="right"/>
    </xf>
    <xf numFmtId="0" fontId="66" fillId="33" borderId="55" xfId="5" applyFont="1" applyFill="1" applyBorder="1" applyAlignment="1">
      <alignment horizontal="center" vertical="center"/>
    </xf>
    <xf numFmtId="1" fontId="37" fillId="33" borderId="59" xfId="8" applyNumberFormat="1" applyFill="1" applyBorder="1" applyAlignment="1">
      <alignment horizontal="center" vertical="center"/>
    </xf>
    <xf numFmtId="0" fontId="47" fillId="0" borderId="0" xfId="0" applyFont="1"/>
    <xf numFmtId="2" fontId="56" fillId="0" borderId="28" xfId="0" applyNumberFormat="1" applyFont="1" applyBorder="1" applyAlignment="1">
      <alignment horizontal="center" vertical="center"/>
    </xf>
    <xf numFmtId="0" fontId="7" fillId="0" borderId="56" xfId="0" applyFont="1" applyBorder="1" applyAlignment="1">
      <alignment horizontal="center" vertical="center"/>
    </xf>
    <xf numFmtId="0" fontId="69" fillId="0" borderId="0" xfId="0" applyFont="1" applyAlignment="1">
      <alignment horizontal="center" vertical="center"/>
    </xf>
    <xf numFmtId="0" fontId="27" fillId="0" borderId="21" xfId="0" applyFont="1" applyBorder="1" applyAlignment="1">
      <alignment horizontal="center" vertical="center"/>
    </xf>
    <xf numFmtId="0" fontId="27" fillId="0" borderId="23" xfId="0" applyFont="1" applyBorder="1" applyAlignment="1">
      <alignment horizontal="center" vertical="center"/>
    </xf>
    <xf numFmtId="0" fontId="51" fillId="18" borderId="55" xfId="0" applyFont="1" applyFill="1" applyBorder="1" applyAlignment="1">
      <alignment horizontal="center" vertical="center"/>
    </xf>
    <xf numFmtId="0" fontId="51" fillId="32" borderId="55" xfId="5" applyFont="1" applyFill="1" applyBorder="1" applyAlignment="1">
      <alignment horizontal="center" vertical="center"/>
    </xf>
    <xf numFmtId="164" fontId="21" fillId="20" borderId="42" xfId="1" applyFont="1" applyFill="1" applyBorder="1" applyAlignment="1">
      <alignment horizontal="center" vertical="center"/>
    </xf>
    <xf numFmtId="164" fontId="21" fillId="20" borderId="35" xfId="1" applyFont="1" applyFill="1" applyBorder="1" applyAlignment="1">
      <alignment horizontal="center" vertical="center"/>
    </xf>
    <xf numFmtId="164" fontId="21" fillId="20" borderId="36" xfId="1" applyFont="1" applyFill="1" applyBorder="1" applyAlignment="1">
      <alignment horizontal="center" vertical="center"/>
    </xf>
    <xf numFmtId="164" fontId="21" fillId="20" borderId="32" xfId="1" applyFont="1" applyFill="1" applyBorder="1" applyAlignment="1">
      <alignment horizontal="center" vertical="center"/>
    </xf>
    <xf numFmtId="0" fontId="40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70" fontId="21" fillId="0" borderId="0" xfId="4" applyNumberFormat="1" applyFont="1" applyAlignment="1">
      <alignment horizontal="center" vertical="center"/>
    </xf>
    <xf numFmtId="0" fontId="36" fillId="0" borderId="8" xfId="0" applyFont="1" applyBorder="1" applyAlignment="1">
      <alignment horizontal="center" vertical="center" wrapText="1"/>
    </xf>
    <xf numFmtId="166" fontId="0" fillId="0" borderId="0" xfId="0" applyNumberFormat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42" fillId="13" borderId="21" xfId="0" applyFont="1" applyFill="1" applyBorder="1" applyAlignment="1">
      <alignment horizontal="center" wrapText="1"/>
    </xf>
    <xf numFmtId="0" fontId="42" fillId="13" borderId="23" xfId="0" applyFont="1" applyFill="1" applyBorder="1" applyAlignment="1">
      <alignment horizontal="center" wrapText="1"/>
    </xf>
    <xf numFmtId="0" fontId="72" fillId="24" borderId="55" xfId="0" applyFont="1" applyFill="1" applyBorder="1" applyAlignment="1">
      <alignment horizontal="center" vertical="center"/>
    </xf>
    <xf numFmtId="0" fontId="53" fillId="34" borderId="55" xfId="0" applyFont="1" applyFill="1" applyBorder="1" applyAlignment="1">
      <alignment horizontal="center" vertical="center"/>
    </xf>
    <xf numFmtId="1" fontId="73" fillId="34" borderId="59" xfId="0" applyNumberFormat="1" applyFont="1" applyFill="1" applyBorder="1" applyAlignment="1">
      <alignment horizontal="center" vertical="center"/>
    </xf>
    <xf numFmtId="1" fontId="74" fillId="24" borderId="59" xfId="0" applyNumberFormat="1" applyFont="1" applyFill="1" applyBorder="1" applyAlignment="1">
      <alignment horizontal="center" vertical="center"/>
    </xf>
    <xf numFmtId="0" fontId="61" fillId="0" borderId="0" xfId="0" applyFont="1" applyAlignment="1">
      <alignment horizontal="center" vertical="center"/>
    </xf>
    <xf numFmtId="166" fontId="27" fillId="0" borderId="0" xfId="0" applyNumberFormat="1" applyFont="1" applyAlignment="1">
      <alignment horizontal="center" vertical="center"/>
    </xf>
    <xf numFmtId="0" fontId="0" fillId="0" borderId="57" xfId="0" applyBorder="1" applyAlignment="1">
      <alignment horizontal="right"/>
    </xf>
    <xf numFmtId="0" fontId="4" fillId="0" borderId="29" xfId="0" applyFont="1" applyBorder="1" applyAlignment="1">
      <alignment horizontal="center" vertical="center" wrapText="1"/>
    </xf>
    <xf numFmtId="0" fontId="4" fillId="0" borderId="62" xfId="0" applyFont="1" applyBorder="1" applyAlignment="1">
      <alignment horizontal="center" vertical="center"/>
    </xf>
    <xf numFmtId="2" fontId="4" fillId="0" borderId="30" xfId="0" applyNumberFormat="1" applyFont="1" applyBorder="1" applyAlignment="1">
      <alignment horizontal="center" vertical="center"/>
    </xf>
    <xf numFmtId="0" fontId="4" fillId="0" borderId="31" xfId="0" applyFont="1" applyBorder="1" applyAlignment="1">
      <alignment horizontal="center" vertical="center"/>
    </xf>
    <xf numFmtId="0" fontId="76" fillId="0" borderId="0" xfId="0" applyFont="1" applyAlignment="1">
      <alignment vertical="center"/>
    </xf>
    <xf numFmtId="0" fontId="47" fillId="0" borderId="0" xfId="0" applyFont="1" applyAlignment="1">
      <alignment horizontal="right" vertical="center" readingOrder="2"/>
    </xf>
    <xf numFmtId="0" fontId="7" fillId="3" borderId="18" xfId="0" applyFont="1" applyFill="1" applyBorder="1" applyAlignment="1">
      <alignment horizontal="center" vertical="center"/>
    </xf>
    <xf numFmtId="0" fontId="7" fillId="3" borderId="52" xfId="0" applyFont="1" applyFill="1" applyBorder="1" applyAlignment="1">
      <alignment horizontal="center" vertical="center"/>
    </xf>
    <xf numFmtId="2" fontId="7" fillId="0" borderId="0" xfId="0" applyNumberFormat="1" applyFont="1" applyAlignment="1">
      <alignment horizontal="center" vertical="center"/>
    </xf>
    <xf numFmtId="164" fontId="77" fillId="0" borderId="0" xfId="0" applyNumberFormat="1" applyFont="1" applyAlignment="1">
      <alignment horizontal="center" vertical="center"/>
    </xf>
    <xf numFmtId="167" fontId="78" fillId="0" borderId="0" xfId="0" applyNumberFormat="1" applyFont="1" applyAlignment="1">
      <alignment horizontal="center" vertical="center"/>
    </xf>
    <xf numFmtId="169" fontId="0" fillId="0" borderId="0" xfId="0" applyNumberFormat="1" applyAlignment="1">
      <alignment horizontal="center" vertical="center"/>
    </xf>
    <xf numFmtId="164" fontId="79" fillId="0" borderId="0" xfId="0" applyNumberFormat="1" applyFont="1" applyAlignment="1">
      <alignment horizontal="center" vertical="center"/>
    </xf>
    <xf numFmtId="167" fontId="0" fillId="0" borderId="0" xfId="0" applyNumberFormat="1" applyAlignment="1">
      <alignment horizontal="center" vertical="center"/>
    </xf>
    <xf numFmtId="167" fontId="80" fillId="0" borderId="8" xfId="0" applyNumberFormat="1" applyFont="1" applyBorder="1" applyAlignment="1">
      <alignment horizontal="center" vertical="center"/>
    </xf>
    <xf numFmtId="165" fontId="80" fillId="0" borderId="8" xfId="0" applyNumberFormat="1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165" fontId="61" fillId="0" borderId="0" xfId="4" applyFont="1" applyAlignment="1">
      <alignment horizontal="center" vertical="center"/>
    </xf>
    <xf numFmtId="0" fontId="61" fillId="13" borderId="49" xfId="0" applyFont="1" applyFill="1" applyBorder="1" applyAlignment="1">
      <alignment horizontal="right"/>
    </xf>
    <xf numFmtId="0" fontId="61" fillId="13" borderId="49" xfId="0" applyFont="1" applyFill="1" applyBorder="1"/>
    <xf numFmtId="1" fontId="48" fillId="31" borderId="18" xfId="8" applyNumberFormat="1" applyFont="1" applyBorder="1" applyAlignment="1">
      <alignment horizontal="center" vertical="center"/>
    </xf>
    <xf numFmtId="1" fontId="48" fillId="33" borderId="18" xfId="8" applyNumberFormat="1" applyFont="1" applyFill="1" applyBorder="1" applyAlignment="1">
      <alignment horizontal="center" vertical="center"/>
    </xf>
    <xf numFmtId="1" fontId="5" fillId="24" borderId="18" xfId="0" applyNumberFormat="1" applyFont="1" applyFill="1" applyBorder="1" applyAlignment="1">
      <alignment horizontal="center" vertical="center"/>
    </xf>
    <xf numFmtId="1" fontId="5" fillId="34" borderId="18" xfId="0" applyNumberFormat="1" applyFont="1" applyFill="1" applyBorder="1" applyAlignment="1">
      <alignment horizontal="center" vertical="center"/>
    </xf>
    <xf numFmtId="2" fontId="81" fillId="0" borderId="8" xfId="0" applyNumberFormat="1" applyFont="1" applyBorder="1" applyAlignment="1">
      <alignment horizontal="center" vertical="center"/>
    </xf>
    <xf numFmtId="164" fontId="82" fillId="0" borderId="0" xfId="0" applyNumberFormat="1" applyFont="1" applyAlignment="1">
      <alignment horizontal="center" vertical="center"/>
    </xf>
    <xf numFmtId="165" fontId="83" fillId="0" borderId="0" xfId="4" applyFont="1" applyFill="1" applyAlignment="1">
      <alignment horizontal="center" vertical="center"/>
    </xf>
    <xf numFmtId="164" fontId="83" fillId="0" borderId="0" xfId="0" applyNumberFormat="1" applyFont="1" applyAlignment="1">
      <alignment horizontal="center" vertical="center"/>
    </xf>
    <xf numFmtId="164" fontId="84" fillId="0" borderId="0" xfId="0" applyNumberFormat="1" applyFont="1" applyAlignment="1">
      <alignment horizontal="center" vertical="center"/>
    </xf>
    <xf numFmtId="0" fontId="0" fillId="0" borderId="0" xfId="0" applyAlignment="1">
      <alignment horizontal="right" vertical="center"/>
    </xf>
    <xf numFmtId="170" fontId="48" fillId="0" borderId="52" xfId="4" applyNumberFormat="1" applyFont="1" applyFill="1" applyBorder="1" applyAlignment="1">
      <alignment horizontal="center" vertical="center"/>
    </xf>
    <xf numFmtId="170" fontId="48" fillId="0" borderId="8" xfId="4" applyNumberFormat="1" applyFont="1" applyFill="1" applyBorder="1" applyAlignment="1">
      <alignment horizontal="center" vertical="center"/>
    </xf>
    <xf numFmtId="172" fontId="27" fillId="0" borderId="22" xfId="1" applyNumberFormat="1" applyFont="1" applyBorder="1" applyAlignment="1">
      <alignment horizontal="center" vertical="center"/>
    </xf>
    <xf numFmtId="167" fontId="86" fillId="0" borderId="0" xfId="0" applyNumberFormat="1" applyFont="1" applyAlignment="1">
      <alignment horizontal="center" vertical="center"/>
    </xf>
    <xf numFmtId="0" fontId="0" fillId="0" borderId="58" xfId="0" applyBorder="1" applyAlignment="1">
      <alignment horizontal="center" vertical="center"/>
    </xf>
    <xf numFmtId="0" fontId="87" fillId="0" borderId="0" xfId="0" applyFont="1" applyAlignment="1">
      <alignment horizontal="center" vertical="center"/>
    </xf>
    <xf numFmtId="169" fontId="4" fillId="0" borderId="26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vertical="center"/>
    </xf>
    <xf numFmtId="2" fontId="18" fillId="0" borderId="8" xfId="0" applyNumberFormat="1" applyFont="1" applyBorder="1" applyAlignment="1">
      <alignment horizontal="center" vertical="center"/>
    </xf>
    <xf numFmtId="171" fontId="18" fillId="35" borderId="39" xfId="0" applyNumberFormat="1" applyFont="1" applyFill="1" applyBorder="1" applyAlignment="1">
      <alignment horizontal="center" vertical="center"/>
    </xf>
    <xf numFmtId="2" fontId="18" fillId="0" borderId="39" xfId="0" applyNumberFormat="1" applyFont="1" applyBorder="1" applyAlignment="1">
      <alignment horizontal="center" vertical="center"/>
    </xf>
    <xf numFmtId="0" fontId="0" fillId="0" borderId="58" xfId="0" applyBorder="1" applyAlignment="1">
      <alignment horizontal="center" vertical="center" wrapText="1"/>
    </xf>
    <xf numFmtId="0" fontId="0" fillId="0" borderId="29" xfId="0" applyBorder="1" applyAlignment="1">
      <alignment horizontal="center" vertical="center" wrapText="1"/>
    </xf>
    <xf numFmtId="0" fontId="0" fillId="0" borderId="27" xfId="0" applyBorder="1" applyAlignment="1">
      <alignment horizontal="center" vertical="center" wrapText="1"/>
    </xf>
    <xf numFmtId="171" fontId="18" fillId="36" borderId="39" xfId="0" applyNumberFormat="1" applyFont="1" applyFill="1" applyBorder="1" applyAlignment="1">
      <alignment horizontal="center" vertical="center"/>
    </xf>
    <xf numFmtId="172" fontId="67" fillId="0" borderId="0" xfId="0" applyNumberFormat="1" applyFont="1" applyAlignment="1">
      <alignment horizontal="center" vertical="center"/>
    </xf>
    <xf numFmtId="172" fontId="0" fillId="0" borderId="0" xfId="0" applyNumberFormat="1" applyAlignment="1">
      <alignment horizontal="center" vertical="center"/>
    </xf>
    <xf numFmtId="172" fontId="0" fillId="0" borderId="51" xfId="0" applyNumberFormat="1" applyBorder="1" applyAlignment="1">
      <alignment horizontal="center" vertical="center"/>
    </xf>
    <xf numFmtId="0" fontId="67" fillId="0" borderId="28" xfId="0" applyFont="1" applyBorder="1" applyAlignment="1">
      <alignment horizontal="center" vertical="center"/>
    </xf>
    <xf numFmtId="170" fontId="0" fillId="0" borderId="45" xfId="4" applyNumberFormat="1" applyFont="1" applyBorder="1" applyAlignment="1">
      <alignment horizontal="center" vertical="center"/>
    </xf>
    <xf numFmtId="170" fontId="88" fillId="0" borderId="45" xfId="4" applyNumberFormat="1" applyFont="1" applyBorder="1" applyAlignment="1">
      <alignment horizontal="center" vertical="center"/>
    </xf>
    <xf numFmtId="165" fontId="89" fillId="0" borderId="0" xfId="4" applyFont="1" applyFill="1" applyAlignment="1">
      <alignment horizontal="center" vertical="center"/>
    </xf>
    <xf numFmtId="165" fontId="46" fillId="0" borderId="0" xfId="4" applyFont="1" applyAlignment="1">
      <alignment horizontal="center" vertical="center"/>
    </xf>
    <xf numFmtId="0" fontId="47" fillId="0" borderId="0" xfId="0" applyFont="1" applyAlignment="1">
      <alignment horizontal="right" vertical="center"/>
    </xf>
    <xf numFmtId="0" fontId="85" fillId="0" borderId="0" xfId="0" applyFont="1" applyAlignment="1">
      <alignment horizontal="center" vertical="center"/>
    </xf>
    <xf numFmtId="0" fontId="0" fillId="0" borderId="35" xfId="0" applyBorder="1" applyAlignment="1">
      <alignment horizontal="center" vertical="center"/>
    </xf>
    <xf numFmtId="0" fontId="0" fillId="0" borderId="43" xfId="0" applyBorder="1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0" fillId="0" borderId="44" xfId="0" applyBorder="1" applyAlignment="1">
      <alignment horizontal="center" vertical="center"/>
    </xf>
    <xf numFmtId="0" fontId="0" fillId="0" borderId="45" xfId="0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170" fontId="0" fillId="0" borderId="45" xfId="0" applyNumberFormat="1" applyBorder="1" applyAlignment="1">
      <alignment horizontal="center" vertical="center"/>
    </xf>
    <xf numFmtId="0" fontId="0" fillId="0" borderId="46" xfId="0" applyBorder="1" applyAlignment="1">
      <alignment horizontal="center" vertical="center"/>
    </xf>
    <xf numFmtId="0" fontId="0" fillId="0" borderId="47" xfId="0" applyBorder="1" applyAlignment="1">
      <alignment horizontal="center" vertical="center"/>
    </xf>
    <xf numFmtId="0" fontId="0" fillId="0" borderId="48" xfId="0" applyBorder="1" applyAlignment="1">
      <alignment horizontal="center" vertical="center"/>
    </xf>
    <xf numFmtId="167" fontId="47" fillId="0" borderId="31" xfId="0" applyNumberFormat="1" applyFont="1" applyBorder="1" applyAlignment="1">
      <alignment horizontal="center" vertical="center"/>
    </xf>
    <xf numFmtId="0" fontId="10" fillId="0" borderId="0" xfId="0" applyFont="1" applyAlignment="1">
      <alignment vertical="center"/>
    </xf>
    <xf numFmtId="0" fontId="47" fillId="0" borderId="8" xfId="0" applyFont="1" applyBorder="1" applyAlignment="1">
      <alignment horizontal="center" vertical="center"/>
    </xf>
    <xf numFmtId="0" fontId="76" fillId="0" borderId="0" xfId="0" applyFont="1" applyAlignment="1">
      <alignment horizontal="center" vertical="center"/>
    </xf>
    <xf numFmtId="0" fontId="47" fillId="19" borderId="8" xfId="0" applyFont="1" applyFill="1" applyBorder="1" applyAlignment="1">
      <alignment horizontal="right"/>
    </xf>
    <xf numFmtId="0" fontId="28" fillId="0" borderId="15" xfId="0" applyFont="1" applyBorder="1" applyAlignment="1">
      <alignment horizontal="center" vertical="center" readingOrder="2"/>
    </xf>
    <xf numFmtId="164" fontId="47" fillId="0" borderId="28" xfId="0" applyNumberFormat="1" applyFont="1" applyBorder="1" applyAlignment="1">
      <alignment horizontal="center" vertical="center"/>
    </xf>
    <xf numFmtId="164" fontId="75" fillId="0" borderId="28" xfId="0" applyNumberFormat="1" applyFont="1" applyBorder="1" applyAlignment="1">
      <alignment horizontal="center" vertical="center"/>
    </xf>
    <xf numFmtId="0" fontId="1" fillId="0" borderId="36" xfId="0" applyFont="1" applyBorder="1" applyAlignment="1">
      <alignment horizontal="center" vertical="center"/>
    </xf>
    <xf numFmtId="0" fontId="41" fillId="0" borderId="26" xfId="0" applyFont="1" applyBorder="1" applyAlignment="1">
      <alignment horizontal="center" vertical="center"/>
    </xf>
    <xf numFmtId="167" fontId="18" fillId="0" borderId="8" xfId="0" applyNumberFormat="1" applyFont="1" applyBorder="1" applyAlignment="1">
      <alignment horizontal="center" vertical="center"/>
    </xf>
    <xf numFmtId="167" fontId="75" fillId="0" borderId="38" xfId="0" applyNumberFormat="1" applyFont="1" applyBorder="1" applyAlignment="1">
      <alignment horizontal="center" vertical="center"/>
    </xf>
    <xf numFmtId="167" fontId="47" fillId="0" borderId="28" xfId="0" applyNumberFormat="1" applyFont="1" applyBorder="1" applyAlignment="1">
      <alignment horizontal="center" vertical="center"/>
    </xf>
    <xf numFmtId="0" fontId="7" fillId="4" borderId="18" xfId="0" applyFont="1" applyFill="1" applyBorder="1" applyAlignment="1">
      <alignment horizontal="center" vertical="center" wrapText="1"/>
    </xf>
    <xf numFmtId="0" fontId="7" fillId="4" borderId="52" xfId="0" applyFont="1" applyFill="1" applyBorder="1" applyAlignment="1">
      <alignment horizontal="center" vertical="center" wrapText="1"/>
    </xf>
    <xf numFmtId="0" fontId="91" fillId="37" borderId="50" xfId="0" applyFont="1" applyFill="1" applyBorder="1" applyAlignment="1">
      <alignment horizontal="right" vertical="top" wrapText="1" readingOrder="1"/>
    </xf>
    <xf numFmtId="0" fontId="4" fillId="0" borderId="0" xfId="0" applyFont="1" applyAlignment="1">
      <alignment horizontal="center" vertical="center" wrapText="1"/>
    </xf>
    <xf numFmtId="0" fontId="5" fillId="0" borderId="63" xfId="0" applyFont="1" applyBorder="1" applyAlignment="1">
      <alignment horizontal="center" vertical="center"/>
    </xf>
    <xf numFmtId="0" fontId="5" fillId="0" borderId="64" xfId="0" applyFont="1" applyBorder="1" applyAlignment="1">
      <alignment horizontal="center" vertical="center"/>
    </xf>
    <xf numFmtId="0" fontId="47" fillId="19" borderId="52" xfId="0" applyFont="1" applyFill="1" applyBorder="1" applyAlignment="1">
      <alignment horizontal="center" vertical="center"/>
    </xf>
    <xf numFmtId="0" fontId="47" fillId="0" borderId="52" xfId="0" applyFont="1" applyBorder="1" applyAlignment="1">
      <alignment horizontal="center" vertical="center"/>
    </xf>
    <xf numFmtId="0" fontId="47" fillId="2" borderId="52" xfId="0" applyFont="1" applyFill="1" applyBorder="1" applyAlignment="1">
      <alignment horizontal="center" vertical="center"/>
    </xf>
    <xf numFmtId="0" fontId="47" fillId="19" borderId="8" xfId="0" applyFont="1" applyFill="1" applyBorder="1" applyAlignment="1">
      <alignment horizontal="center"/>
    </xf>
    <xf numFmtId="0" fontId="47" fillId="0" borderId="8" xfId="0" applyFont="1" applyBorder="1" applyAlignment="1">
      <alignment horizontal="right" vertical="center"/>
    </xf>
    <xf numFmtId="0" fontId="46" fillId="19" borderId="8" xfId="0" applyFont="1" applyFill="1" applyBorder="1" applyAlignment="1">
      <alignment horizontal="center"/>
    </xf>
    <xf numFmtId="1" fontId="47" fillId="19" borderId="8" xfId="0" applyNumberFormat="1" applyFont="1" applyFill="1" applyBorder="1" applyAlignment="1">
      <alignment horizontal="center"/>
    </xf>
    <xf numFmtId="2" fontId="40" fillId="19" borderId="8" xfId="0" applyNumberFormat="1" applyFont="1" applyFill="1" applyBorder="1" applyAlignment="1">
      <alignment horizontal="center"/>
    </xf>
    <xf numFmtId="0" fontId="96" fillId="0" borderId="8" xfId="0" applyFont="1" applyBorder="1"/>
    <xf numFmtId="0" fontId="95" fillId="0" borderId="8" xfId="0" applyFont="1" applyBorder="1"/>
    <xf numFmtId="8" fontId="94" fillId="0" borderId="8" xfId="0" applyNumberFormat="1" applyFont="1" applyBorder="1"/>
    <xf numFmtId="8" fontId="96" fillId="0" borderId="8" xfId="0" applyNumberFormat="1" applyFont="1" applyBorder="1"/>
    <xf numFmtId="0" fontId="97" fillId="13" borderId="23" xfId="0" applyFont="1" applyFill="1" applyBorder="1" applyAlignment="1">
      <alignment horizontal="center" wrapText="1"/>
    </xf>
    <xf numFmtId="0" fontId="47" fillId="10" borderId="52" xfId="0" applyFont="1" applyFill="1" applyBorder="1" applyAlignment="1">
      <alignment horizontal="center" vertical="center"/>
    </xf>
    <xf numFmtId="0" fontId="92" fillId="38" borderId="50" xfId="0" applyFont="1" applyFill="1" applyBorder="1" applyAlignment="1">
      <alignment horizontal="center" vertical="top" wrapText="1" readingOrder="2"/>
    </xf>
    <xf numFmtId="0" fontId="93" fillId="39" borderId="50" xfId="0" applyFont="1" applyFill="1" applyBorder="1" applyAlignment="1">
      <alignment horizontal="right" vertical="top" wrapText="1" readingOrder="2"/>
    </xf>
    <xf numFmtId="0" fontId="93" fillId="40" borderId="50" xfId="0" applyFont="1" applyFill="1" applyBorder="1" applyAlignment="1">
      <alignment horizontal="right" vertical="top" wrapText="1" readingOrder="2"/>
    </xf>
    <xf numFmtId="17" fontId="101" fillId="41" borderId="68" xfId="0" applyNumberFormat="1" applyFont="1" applyFill="1" applyBorder="1" applyAlignment="1">
      <alignment horizontal="center" vertical="center"/>
    </xf>
    <xf numFmtId="0" fontId="42" fillId="0" borderId="69" xfId="0" applyFont="1" applyBorder="1" applyAlignment="1">
      <alignment horizontal="center" vertical="center"/>
    </xf>
    <xf numFmtId="0" fontId="42" fillId="42" borderId="70" xfId="0" applyFont="1" applyFill="1" applyBorder="1" applyAlignment="1">
      <alignment horizontal="center" vertical="center" wrapText="1"/>
    </xf>
    <xf numFmtId="0" fontId="42" fillId="19" borderId="70" xfId="0" applyFont="1" applyFill="1" applyBorder="1" applyAlignment="1">
      <alignment horizontal="center" vertical="center" wrapText="1"/>
    </xf>
    <xf numFmtId="0" fontId="42" fillId="22" borderId="70" xfId="0" applyFont="1" applyFill="1" applyBorder="1" applyAlignment="1">
      <alignment horizontal="center" vertical="center" wrapText="1"/>
    </xf>
    <xf numFmtId="0" fontId="42" fillId="24" borderId="70" xfId="0" applyFont="1" applyFill="1" applyBorder="1" applyAlignment="1">
      <alignment horizontal="center" vertical="center" wrapText="1"/>
    </xf>
    <xf numFmtId="0" fontId="42" fillId="24" borderId="71" xfId="0" applyFont="1" applyFill="1" applyBorder="1" applyAlignment="1">
      <alignment horizontal="center" vertical="center" wrapText="1"/>
    </xf>
    <xf numFmtId="0" fontId="102" fillId="43" borderId="70" xfId="0" applyFont="1" applyFill="1" applyBorder="1" applyAlignment="1">
      <alignment horizontal="center" vertical="center" wrapText="1" readingOrder="2"/>
    </xf>
    <xf numFmtId="0" fontId="103" fillId="44" borderId="27" xfId="0" applyFont="1" applyFill="1" applyBorder="1" applyAlignment="1">
      <alignment horizontal="center" vertical="center"/>
    </xf>
    <xf numFmtId="16" fontId="48" fillId="42" borderId="52" xfId="0" applyNumberFormat="1" applyFont="1" applyFill="1" applyBorder="1" applyAlignment="1">
      <alignment horizontal="center" vertical="center"/>
    </xf>
    <xf numFmtId="0" fontId="48" fillId="0" borderId="52" xfId="0" applyFont="1" applyBorder="1" applyAlignment="1">
      <alignment horizontal="center" vertical="center"/>
    </xf>
    <xf numFmtId="0" fontId="48" fillId="19" borderId="52" xfId="0" applyFont="1" applyFill="1" applyBorder="1" applyAlignment="1">
      <alignment horizontal="center" vertical="center"/>
    </xf>
    <xf numFmtId="170" fontId="48" fillId="0" borderId="8" xfId="7" applyNumberFormat="1" applyFont="1" applyBorder="1" applyAlignment="1">
      <alignment horizontal="center" vertical="center"/>
    </xf>
    <xf numFmtId="0" fontId="48" fillId="22" borderId="52" xfId="0" applyFont="1" applyFill="1" applyBorder="1" applyAlignment="1">
      <alignment horizontal="center" vertical="center"/>
    </xf>
    <xf numFmtId="0" fontId="48" fillId="24" borderId="72" xfId="0" applyFont="1" applyFill="1" applyBorder="1" applyAlignment="1">
      <alignment horizontal="center" vertical="center"/>
    </xf>
    <xf numFmtId="165" fontId="61" fillId="0" borderId="52" xfId="7" applyFont="1" applyBorder="1" applyAlignment="1">
      <alignment horizontal="center" vertical="center" readingOrder="2"/>
    </xf>
    <xf numFmtId="0" fontId="48" fillId="42" borderId="52" xfId="0" applyFont="1" applyFill="1" applyBorder="1" applyAlignment="1">
      <alignment horizontal="center" vertical="center"/>
    </xf>
    <xf numFmtId="0" fontId="102" fillId="44" borderId="27" xfId="0" applyFont="1" applyFill="1" applyBorder="1" applyAlignment="1">
      <alignment horizontal="center" vertical="center"/>
    </xf>
    <xf numFmtId="0" fontId="0" fillId="4" borderId="69" xfId="0" applyFill="1" applyBorder="1" applyAlignment="1">
      <alignment horizontal="center" vertical="center"/>
    </xf>
    <xf numFmtId="0" fontId="27" fillId="4" borderId="70" xfId="0" applyFont="1" applyFill="1" applyBorder="1" applyAlignment="1">
      <alignment horizontal="center" vertical="center"/>
    </xf>
    <xf numFmtId="165" fontId="27" fillId="4" borderId="22" xfId="7" applyFont="1" applyFill="1" applyBorder="1" applyAlignment="1">
      <alignment horizontal="center" vertical="center"/>
    </xf>
    <xf numFmtId="0" fontId="27" fillId="4" borderId="73" xfId="0" applyFont="1" applyFill="1" applyBorder="1" applyAlignment="1">
      <alignment horizontal="center" vertical="center"/>
    </xf>
    <xf numFmtId="165" fontId="104" fillId="43" borderId="22" xfId="7" applyFont="1" applyFill="1" applyBorder="1" applyAlignment="1">
      <alignment horizontal="center" vertical="center"/>
    </xf>
    <xf numFmtId="0" fontId="21" fillId="20" borderId="46" xfId="0" applyFont="1" applyFill="1" applyBorder="1" applyAlignment="1">
      <alignment horizontal="center" vertical="center"/>
    </xf>
    <xf numFmtId="0" fontId="21" fillId="20" borderId="48" xfId="0" applyFont="1" applyFill="1" applyBorder="1" applyAlignment="1">
      <alignment horizontal="center" vertical="center"/>
    </xf>
    <xf numFmtId="0" fontId="4" fillId="9" borderId="12" xfId="0" applyFont="1" applyFill="1" applyBorder="1" applyAlignment="1">
      <alignment horizontal="center" vertical="center" wrapText="1"/>
    </xf>
    <xf numFmtId="0" fontId="4" fillId="9" borderId="13" xfId="0" applyFont="1" applyFill="1" applyBorder="1" applyAlignment="1">
      <alignment horizontal="center" vertical="center" wrapText="1"/>
    </xf>
    <xf numFmtId="0" fontId="4" fillId="9" borderId="14" xfId="0" applyFont="1" applyFill="1" applyBorder="1" applyAlignment="1">
      <alignment horizontal="center" vertical="center" wrapText="1"/>
    </xf>
    <xf numFmtId="0" fontId="43" fillId="0" borderId="18" xfId="0" applyFont="1" applyBorder="1" applyAlignment="1">
      <alignment horizontal="center" textRotation="135"/>
    </xf>
    <xf numFmtId="0" fontId="43" fillId="0" borderId="52" xfId="0" applyFont="1" applyBorder="1" applyAlignment="1">
      <alignment horizontal="center" textRotation="135"/>
    </xf>
    <xf numFmtId="0" fontId="14" fillId="0" borderId="4" xfId="0" applyFont="1" applyBorder="1" applyAlignment="1">
      <alignment horizontal="center" vertical="center" wrapText="1"/>
    </xf>
    <xf numFmtId="0" fontId="14" fillId="0" borderId="65" xfId="0" applyFont="1" applyBorder="1" applyAlignment="1">
      <alignment horizontal="center" vertical="center" wrapText="1"/>
    </xf>
    <xf numFmtId="0" fontId="43" fillId="0" borderId="18" xfId="0" applyFont="1" applyBorder="1" applyAlignment="1">
      <alignment horizontal="center" vertical="center" textRotation="135"/>
    </xf>
    <xf numFmtId="0" fontId="43" fillId="0" borderId="57" xfId="0" applyFont="1" applyBorder="1" applyAlignment="1">
      <alignment horizontal="center" vertical="center" textRotation="135"/>
    </xf>
    <xf numFmtId="0" fontId="43" fillId="0" borderId="52" xfId="0" applyFont="1" applyBorder="1" applyAlignment="1">
      <alignment horizontal="center" vertical="center" textRotation="135"/>
    </xf>
    <xf numFmtId="0" fontId="27" fillId="12" borderId="12" xfId="0" applyFont="1" applyFill="1" applyBorder="1" applyAlignment="1">
      <alignment horizontal="center" vertical="center"/>
    </xf>
    <xf numFmtId="0" fontId="27" fillId="12" borderId="13" xfId="0" applyFont="1" applyFill="1" applyBorder="1" applyAlignment="1">
      <alignment horizontal="center" vertical="center"/>
    </xf>
    <xf numFmtId="0" fontId="27" fillId="12" borderId="14" xfId="0" applyFont="1" applyFill="1" applyBorder="1" applyAlignment="1">
      <alignment horizontal="center" vertical="center"/>
    </xf>
    <xf numFmtId="0" fontId="52" fillId="0" borderId="47" xfId="0" applyFont="1" applyBorder="1" applyAlignment="1">
      <alignment horizontal="center" vertical="center"/>
    </xf>
    <xf numFmtId="0" fontId="93" fillId="39" borderId="66" xfId="0" applyFont="1" applyFill="1" applyBorder="1" applyAlignment="1">
      <alignment horizontal="right" vertical="top" wrapText="1" readingOrder="2"/>
    </xf>
    <xf numFmtId="0" fontId="100" fillId="0" borderId="67" xfId="0" applyFont="1" applyBorder="1" applyAlignment="1">
      <alignment vertical="top" wrapText="1"/>
    </xf>
    <xf numFmtId="0" fontId="41" fillId="0" borderId="35" xfId="0" applyFont="1" applyBorder="1" applyAlignment="1">
      <alignment horizontal="center" vertical="center"/>
    </xf>
    <xf numFmtId="0" fontId="41" fillId="0" borderId="43" xfId="0" applyFont="1" applyBorder="1" applyAlignment="1">
      <alignment horizontal="center" vertical="center"/>
    </xf>
    <xf numFmtId="0" fontId="41" fillId="0" borderId="46" xfId="0" applyFont="1" applyBorder="1" applyAlignment="1">
      <alignment horizontal="center" vertical="center"/>
    </xf>
    <xf numFmtId="0" fontId="41" fillId="0" borderId="47" xfId="0" applyFont="1" applyBorder="1" applyAlignment="1">
      <alignment horizontal="center" vertical="center"/>
    </xf>
    <xf numFmtId="173" fontId="41" fillId="0" borderId="43" xfId="0" applyNumberFormat="1" applyFont="1" applyBorder="1" applyAlignment="1">
      <alignment horizontal="center" vertical="center"/>
    </xf>
    <xf numFmtId="173" fontId="41" fillId="0" borderId="47" xfId="0" applyNumberFormat="1" applyFont="1" applyBorder="1" applyAlignment="1">
      <alignment horizontal="center" vertical="center"/>
    </xf>
    <xf numFmtId="2" fontId="41" fillId="0" borderId="36" xfId="0" applyNumberFormat="1" applyFont="1" applyBorder="1" applyAlignment="1">
      <alignment horizontal="center" vertical="center"/>
    </xf>
    <xf numFmtId="0" fontId="41" fillId="0" borderId="48" xfId="0" applyFont="1" applyBorder="1" applyAlignment="1">
      <alignment horizontal="center" vertical="center"/>
    </xf>
  </cellXfs>
  <cellStyles count="127">
    <cellStyle name="40% - Accent5" xfId="5" builtinId="47"/>
    <cellStyle name="60% - Accent5" xfId="8" builtinId="48"/>
    <cellStyle name="60% - הדגשה5 2" xfId="21" xr:uid="{00000000-0005-0000-0000-000002000000}"/>
    <cellStyle name="Comma" xfId="4" builtinId="3"/>
    <cellStyle name="Comma 2" xfId="7" xr:uid="{00000000-0005-0000-0000-000004000000}"/>
    <cellStyle name="Comma 2 2" xfId="12" xr:uid="{00000000-0005-0000-0000-000005000000}"/>
    <cellStyle name="Comma 2 2 2" xfId="25" xr:uid="{00000000-0005-0000-0000-000006000000}"/>
    <cellStyle name="Comma 2 2 2 2" xfId="45" xr:uid="{00000000-0005-0000-0000-000007000000}"/>
    <cellStyle name="Comma 2 2 2 2 2" xfId="126" xr:uid="{0DAD5037-A72A-49B0-A26F-77C95283F1AD}"/>
    <cellStyle name="Comma 2 2 2 2 3" xfId="86" xr:uid="{AF9572D6-AF24-4272-A42D-1A6F6692BAC4}"/>
    <cellStyle name="Comma 2 2 2 3" xfId="106" xr:uid="{733C7B45-DE2D-4715-9E00-81CCBB8306F2}"/>
    <cellStyle name="Comma 2 2 2 4" xfId="66" xr:uid="{7434EA64-7B7D-4CB2-876E-A1E3585DA85B}"/>
    <cellStyle name="Comma 2 2 3" xfId="33" xr:uid="{00000000-0005-0000-0000-000008000000}"/>
    <cellStyle name="Comma 2 2 3 2" xfId="114" xr:uid="{03D6F4ED-3405-4B62-B049-7B3C20027BF0}"/>
    <cellStyle name="Comma 2 2 3 3" xfId="74" xr:uid="{B3D5AC11-A519-472D-8B4A-91EB7D381DA5}"/>
    <cellStyle name="Comma 2 2 4" xfId="94" xr:uid="{04799F42-7143-4FC5-93B3-2907CAB6AC24}"/>
    <cellStyle name="Comma 2 2 5" xfId="54" xr:uid="{9D7AD766-9B2D-4FD8-BE2A-DBEE73D15E07}"/>
    <cellStyle name="Comma 2 3" xfId="20" xr:uid="{00000000-0005-0000-0000-000009000000}"/>
    <cellStyle name="Comma 2 3 2" xfId="41" xr:uid="{00000000-0005-0000-0000-00000A000000}"/>
    <cellStyle name="Comma 2 3 2 2" xfId="122" xr:uid="{FED78F1E-6E31-47F3-84CE-79503816B5C4}"/>
    <cellStyle name="Comma 2 3 2 3" xfId="82" xr:uid="{0860BC66-CFDE-4DEA-BCD2-C017C5F9FB01}"/>
    <cellStyle name="Comma 2 3 3" xfId="102" xr:uid="{397A6C00-753A-4C34-8F00-9B0DDF3724C6}"/>
    <cellStyle name="Comma 2 3 4" xfId="62" xr:uid="{1815E67C-3CB7-4011-95C7-B7E46D35E2AE}"/>
    <cellStyle name="Comma 2 4" xfId="16" xr:uid="{00000000-0005-0000-0000-00000B000000}"/>
    <cellStyle name="Comma 2 4 2" xfId="37" xr:uid="{00000000-0005-0000-0000-00000C000000}"/>
    <cellStyle name="Comma 2 4 2 2" xfId="118" xr:uid="{06BA8FCF-2B4E-4625-8500-31C921D8136E}"/>
    <cellStyle name="Comma 2 4 2 3" xfId="78" xr:uid="{9FAEB37D-29E7-49BD-BCBA-050A2534EFEA}"/>
    <cellStyle name="Comma 2 4 3" xfId="98" xr:uid="{9E702359-D4C6-4186-AA08-921625335DFA}"/>
    <cellStyle name="Comma 2 4 4" xfId="58" xr:uid="{D4CB4A6E-52D8-4B7E-B550-10D5EC380511}"/>
    <cellStyle name="Comma 2 5" xfId="29" xr:uid="{00000000-0005-0000-0000-00000D000000}"/>
    <cellStyle name="Comma 2 5 2" xfId="110" xr:uid="{8D9154C8-4619-4B3E-ACAE-885451DD3A28}"/>
    <cellStyle name="Comma 2 5 3" xfId="70" xr:uid="{F3978B3B-F23E-4A4A-8A00-6B4454115A73}"/>
    <cellStyle name="Comma 2 6" xfId="90" xr:uid="{A75C1D29-8587-4A14-8274-0EF1E7CB00BC}"/>
    <cellStyle name="Comma 2 7" xfId="50" xr:uid="{62AB94F1-360E-4B24-91B0-EA1BF98DB3EC}"/>
    <cellStyle name="Comma 3" xfId="10" xr:uid="{00000000-0005-0000-0000-00000E000000}"/>
    <cellStyle name="Comma 3 2" xfId="23" xr:uid="{00000000-0005-0000-0000-00000F000000}"/>
    <cellStyle name="Comma 3 2 2" xfId="43" xr:uid="{00000000-0005-0000-0000-000010000000}"/>
    <cellStyle name="Comma 3 2 2 2" xfId="124" xr:uid="{BECDD242-9F43-4B1A-9984-50BB02BE90DC}"/>
    <cellStyle name="Comma 3 2 2 3" xfId="84" xr:uid="{DCB6EC43-D2D3-4999-A7C9-BD517357D385}"/>
    <cellStyle name="Comma 3 2 3" xfId="104" xr:uid="{7953FA02-FA40-4931-92E5-A415598D392F}"/>
    <cellStyle name="Comma 3 2 4" xfId="64" xr:uid="{DCBD3297-3DCF-4576-9142-6CCF37E453CC}"/>
    <cellStyle name="Comma 3 3" xfId="31" xr:uid="{00000000-0005-0000-0000-000011000000}"/>
    <cellStyle name="Comma 3 3 2" xfId="112" xr:uid="{DC6329DB-43C5-41AB-AFA6-1ED9D11998EB}"/>
    <cellStyle name="Comma 3 3 3" xfId="72" xr:uid="{E280845B-960E-4C9A-8B83-B4C818C65EC3}"/>
    <cellStyle name="Comma 3 4" xfId="92" xr:uid="{D7339622-90BC-4357-80F7-1D7B67FF67E4}"/>
    <cellStyle name="Comma 3 5" xfId="52" xr:uid="{C7033CD9-6312-43B6-9DC5-D7ED6BE85E83}"/>
    <cellStyle name="Comma 4" xfId="18" xr:uid="{00000000-0005-0000-0000-000012000000}"/>
    <cellStyle name="Comma 4 2" xfId="39" xr:uid="{00000000-0005-0000-0000-000013000000}"/>
    <cellStyle name="Comma 4 2 2" xfId="120" xr:uid="{4D942715-6812-4CA3-A580-293402E88BF9}"/>
    <cellStyle name="Comma 4 2 3" xfId="80" xr:uid="{F6B9D9C0-CC1B-4F74-87C3-0C6726E4A5CF}"/>
    <cellStyle name="Comma 4 3" xfId="100" xr:uid="{567C28D4-29FD-4477-AF90-CDB9B4007BB9}"/>
    <cellStyle name="Comma 4 4" xfId="60" xr:uid="{912ABDE5-2494-4EDE-A84B-EF9EF98F5E2B}"/>
    <cellStyle name="Comma 5" xfId="14" xr:uid="{00000000-0005-0000-0000-000014000000}"/>
    <cellStyle name="Comma 5 2" xfId="35" xr:uid="{00000000-0005-0000-0000-000015000000}"/>
    <cellStyle name="Comma 5 2 2" xfId="116" xr:uid="{8676C988-10CF-48A8-9946-CE1E4B339FD5}"/>
    <cellStyle name="Comma 5 2 3" xfId="76" xr:uid="{AB7D08AD-407E-49B1-8851-F36F737BD4CF}"/>
    <cellStyle name="Comma 5 3" xfId="96" xr:uid="{B97B19D9-AF2E-4ADC-BCB1-15E1EF8C4E9E}"/>
    <cellStyle name="Comma 5 4" xfId="56" xr:uid="{840C2E6B-3982-41B0-A9C5-0570123FE67A}"/>
    <cellStyle name="Comma 6" xfId="27" xr:uid="{00000000-0005-0000-0000-000016000000}"/>
    <cellStyle name="Comma 6 2" xfId="108" xr:uid="{D691EB63-D937-437B-803E-8AB1189481E9}"/>
    <cellStyle name="Comma 6 3" xfId="68" xr:uid="{501243C7-1535-4645-8F6F-51D7C386DA1C}"/>
    <cellStyle name="Comma 7" xfId="88" xr:uid="{141E1EAE-D9C7-4F8D-8E27-0356721402CA}"/>
    <cellStyle name="Comma 8" xfId="48" xr:uid="{B7D40637-4201-4C9F-B69D-2A62D2966917}"/>
    <cellStyle name="Currency" xfId="1" builtinId="4"/>
    <cellStyle name="Currency 2" xfId="6" xr:uid="{00000000-0005-0000-0000-000018000000}"/>
    <cellStyle name="Currency 2 2" xfId="11" xr:uid="{00000000-0005-0000-0000-000019000000}"/>
    <cellStyle name="Currency 2 2 2" xfId="24" xr:uid="{00000000-0005-0000-0000-00001A000000}"/>
    <cellStyle name="Currency 2 2 2 2" xfId="44" xr:uid="{00000000-0005-0000-0000-00001B000000}"/>
    <cellStyle name="Currency 2 2 2 2 2" xfId="125" xr:uid="{62DDB9EE-F530-473A-B499-80A92548694E}"/>
    <cellStyle name="Currency 2 2 2 2 3" xfId="85" xr:uid="{179EDE95-56D1-4FAD-B9F1-1F9297E41BB2}"/>
    <cellStyle name="Currency 2 2 2 3" xfId="105" xr:uid="{5BA31E1E-5C28-4BFC-867F-1924836C8394}"/>
    <cellStyle name="Currency 2 2 2 4" xfId="65" xr:uid="{5BA189D0-A863-45DE-86E9-EDCC20E20989}"/>
    <cellStyle name="Currency 2 2 3" xfId="32" xr:uid="{00000000-0005-0000-0000-00001C000000}"/>
    <cellStyle name="Currency 2 2 3 2" xfId="113" xr:uid="{D410DC6E-209D-45F8-9089-045D58B0AA29}"/>
    <cellStyle name="Currency 2 2 3 3" xfId="73" xr:uid="{26FE8F7C-FC09-4E95-82E7-88D69791EDB1}"/>
    <cellStyle name="Currency 2 2 4" xfId="93" xr:uid="{2B6B9D65-32C7-4D31-BD33-57B7C51C8EFC}"/>
    <cellStyle name="Currency 2 2 5" xfId="53" xr:uid="{4D33DFD2-DA45-4ADF-8987-980ED944EF69}"/>
    <cellStyle name="Currency 2 3" xfId="19" xr:uid="{00000000-0005-0000-0000-00001D000000}"/>
    <cellStyle name="Currency 2 3 2" xfId="40" xr:uid="{00000000-0005-0000-0000-00001E000000}"/>
    <cellStyle name="Currency 2 3 2 2" xfId="121" xr:uid="{C5880862-98F3-4AE3-9ED0-CEE79313B760}"/>
    <cellStyle name="Currency 2 3 2 3" xfId="81" xr:uid="{FF8D3632-E1C0-4D2A-9F59-CFA22F5A8C78}"/>
    <cellStyle name="Currency 2 3 3" xfId="101" xr:uid="{FB212285-04E1-475A-8885-07D22FBB8FD8}"/>
    <cellStyle name="Currency 2 3 4" xfId="61" xr:uid="{C149E5A7-CDD7-4A99-A348-59E3DAF1B374}"/>
    <cellStyle name="Currency 2 4" xfId="15" xr:uid="{00000000-0005-0000-0000-00001F000000}"/>
    <cellStyle name="Currency 2 4 2" xfId="36" xr:uid="{00000000-0005-0000-0000-000020000000}"/>
    <cellStyle name="Currency 2 4 2 2" xfId="117" xr:uid="{551A6BD6-C6C3-488C-81D3-F82B68CFD645}"/>
    <cellStyle name="Currency 2 4 2 3" xfId="77" xr:uid="{E8791151-EA33-4D8C-8739-4CAC2C2527EE}"/>
    <cellStyle name="Currency 2 4 3" xfId="97" xr:uid="{386D096B-509D-4F80-B2BD-F18933373376}"/>
    <cellStyle name="Currency 2 4 4" xfId="57" xr:uid="{5C8C35AE-5C52-4728-931E-35C5E7399659}"/>
    <cellStyle name="Currency 2 5" xfId="28" xr:uid="{00000000-0005-0000-0000-000021000000}"/>
    <cellStyle name="Currency 2 5 2" xfId="109" xr:uid="{91757229-5CBF-4129-A29C-D29D3E3F3426}"/>
    <cellStyle name="Currency 2 5 3" xfId="69" xr:uid="{781326FA-B867-4F8E-B148-AFA9B1F2E245}"/>
    <cellStyle name="Currency 2 6" xfId="89" xr:uid="{B44A3A85-0B5B-420F-BFC7-55A0BAA332B8}"/>
    <cellStyle name="Currency 2 7" xfId="49" xr:uid="{0CF29896-0BA3-4A59-9EF3-996BC895A6E8}"/>
    <cellStyle name="Currency 3" xfId="9" xr:uid="{00000000-0005-0000-0000-000022000000}"/>
    <cellStyle name="Currency 3 2" xfId="22" xr:uid="{00000000-0005-0000-0000-000023000000}"/>
    <cellStyle name="Currency 3 2 2" xfId="42" xr:uid="{00000000-0005-0000-0000-000024000000}"/>
    <cellStyle name="Currency 3 2 2 2" xfId="123" xr:uid="{639C73AE-A435-437F-87FB-AB6132DCFE99}"/>
    <cellStyle name="Currency 3 2 2 3" xfId="83" xr:uid="{4C461D47-321D-4A51-BD1B-12B55F4C41C4}"/>
    <cellStyle name="Currency 3 2 3" xfId="103" xr:uid="{94271513-FD9B-4226-A318-16A463BB0D2A}"/>
    <cellStyle name="Currency 3 2 4" xfId="63" xr:uid="{C5F7BF83-407B-440C-96D4-746DB5DD264F}"/>
    <cellStyle name="Currency 3 3" xfId="30" xr:uid="{00000000-0005-0000-0000-000025000000}"/>
    <cellStyle name="Currency 3 3 2" xfId="111" xr:uid="{FD3107B4-3FBF-413C-A807-70919EDD32C3}"/>
    <cellStyle name="Currency 3 3 3" xfId="71" xr:uid="{A6B9B132-FA63-40D2-8BC8-C5D153A467A2}"/>
    <cellStyle name="Currency 3 4" xfId="91" xr:uid="{ADACC872-9D73-4956-AE27-2DA4384E5A73}"/>
    <cellStyle name="Currency 3 5" xfId="51" xr:uid="{CFDBA36C-960E-4BFC-80B3-8DD668606863}"/>
    <cellStyle name="Currency 4" xfId="17" xr:uid="{00000000-0005-0000-0000-000026000000}"/>
    <cellStyle name="Currency 4 2" xfId="38" xr:uid="{00000000-0005-0000-0000-000027000000}"/>
    <cellStyle name="Currency 4 2 2" xfId="119" xr:uid="{3CBD1F25-5D63-4889-8BD4-42171FBD55B6}"/>
    <cellStyle name="Currency 4 2 3" xfId="79" xr:uid="{2B174F5F-D107-4151-B576-7F65CD0BAD92}"/>
    <cellStyle name="Currency 4 3" xfId="99" xr:uid="{71833AFA-DA63-4938-9348-8D2729461AE6}"/>
    <cellStyle name="Currency 4 4" xfId="59" xr:uid="{F365AB2E-92E6-4ECF-B8C7-CB7C57B1EBBB}"/>
    <cellStyle name="Currency 5" xfId="13" xr:uid="{00000000-0005-0000-0000-000028000000}"/>
    <cellStyle name="Currency 5 2" xfId="34" xr:uid="{00000000-0005-0000-0000-000029000000}"/>
    <cellStyle name="Currency 5 2 2" xfId="115" xr:uid="{3DE91807-63CB-4E61-ADFF-F6C1482B6654}"/>
    <cellStyle name="Currency 5 2 3" xfId="75" xr:uid="{A40785EC-FAA8-4CBA-A429-E9FEDDC94FC9}"/>
    <cellStyle name="Currency 5 3" xfId="95" xr:uid="{181B80C4-DB2E-4428-8194-99AAFB294D27}"/>
    <cellStyle name="Currency 5 4" xfId="55" xr:uid="{10F25D8A-1EF5-4F8D-9253-8250FB043798}"/>
    <cellStyle name="Currency 6" xfId="26" xr:uid="{00000000-0005-0000-0000-00002A000000}"/>
    <cellStyle name="Currency 6 2" xfId="107" xr:uid="{EE5C8406-83F6-4500-8083-CBDEB93ABB24}"/>
    <cellStyle name="Currency 6 3" xfId="67" xr:uid="{D0E2E92D-7BB3-41B0-83B9-168B077A41FB}"/>
    <cellStyle name="Currency 7" xfId="87" xr:uid="{AA498EEA-65B0-4A12-84AE-A12ED8F30D1D}"/>
    <cellStyle name="Currency 8" xfId="47" xr:uid="{E4898F58-C124-4ACD-B628-66D500A320EB}"/>
    <cellStyle name="Normal" xfId="0" builtinId="0"/>
    <cellStyle name="Normal 2" xfId="46" xr:uid="{00000000-0005-0000-0000-00002C000000}"/>
    <cellStyle name="Normal 3" xfId="3" xr:uid="{00000000-0005-0000-0000-00002D000000}"/>
    <cellStyle name="Normal_Sheet1" xfId="2" xr:uid="{00000000-0005-0000-0000-00002E000000}"/>
  </cellStyles>
  <dxfs count="0"/>
  <tableStyles count="0" defaultTableStyle="TableStyleMedium2" defaultPivotStyle="PivotStyleLight16"/>
  <colors>
    <mruColors>
      <color rgb="FFFFD9D9"/>
      <color rgb="FFE8E8E8"/>
      <color rgb="FFFFCCCC"/>
      <color rgb="FFFF9999"/>
      <color rgb="FF76ABDC"/>
      <color rgb="FFFF66FF"/>
      <color rgb="FFCC3300"/>
      <color rgb="FF0066FF"/>
      <color rgb="FFC0DCAE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1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Users/idanwekser/Downloads/&#1491;&#1493;&#1524;&#1495;&#1493;&#1514;/&#1502;&#1488;&#1497;%202026/&#1491;&#1493;&#1495;%20&#1502;&#1512;&#1499;&#1494;%2005.26%20&#1495;&#1491;&#1512;%20&#1499;&#1493;&#1513;&#1512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חגים"/>
    </sheetNames>
    <sheetDataSet>
      <sheetData sheetId="0" refreshError="1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מנהל חדר כושר" refreshedDate="43445.554556944444" createdVersion="6" refreshedVersion="6" minRefreshableVersion="3" recordCount="69" xr:uid="{00000000-000A-0000-FFFF-FFFF08000000}">
  <cacheSource type="worksheet">
    <worksheetSource ref="A1:N70" sheet="דוח אימוני סטודיו"/>
  </cacheSource>
  <cacheFields count="14">
    <cacheField name="תאריך" numFmtId="14">
      <sharedItems containsSemiMixedTypes="0" containsNonDate="0" containsDate="1" containsString="0" minDate="2018-11-01T00:00:00" maxDate="2018-11-30T00:00:00"/>
    </cacheField>
    <cacheField name="יום" numFmtId="0">
      <sharedItems/>
    </cacheField>
    <cacheField name="שעת התחלה" numFmtId="21">
      <sharedItems containsSemiMixedTypes="0" containsNonDate="0" containsDate="1" containsString="0" minDate="1899-12-30T07:30:00" maxDate="1899-12-30T19:00:00"/>
    </cacheField>
    <cacheField name="שעת סיום" numFmtId="21">
      <sharedItems containsSemiMixedTypes="0" containsNonDate="0" containsDate="1" containsString="0" minDate="1899-12-30T08:20:00" maxDate="1899-12-30T19:50:00"/>
    </cacheField>
    <cacheField name="סך שעות" numFmtId="0">
      <sharedItems containsSemiMixedTypes="0" containsString="0" containsNumber="1" minValue="0.83299999999999996" maxValue="0.83299999999999996"/>
    </cacheField>
    <cacheField name="סך דקות" numFmtId="0">
      <sharedItems containsSemiMixedTypes="0" containsString="0" containsNumber="1" containsInteger="1" minValue="50" maxValue="50"/>
    </cacheField>
    <cacheField name="סטטוס" numFmtId="0">
      <sharedItems count="2">
        <s v="מתקיים"/>
        <s v="השיעור בוטל"/>
      </sharedItems>
    </cacheField>
    <cacheField name="מאמן משני" numFmtId="0">
      <sharedItems count="10">
        <s v="זהבה מז'יבובסקי"/>
        <s v=" "/>
        <s v="עדי סרי"/>
        <s v="ברק ביטון"/>
        <s v="רועי עתריה"/>
        <s v="מורן גרינשטיין"/>
        <s v="גיל בקמן"/>
        <s v="אור-ים זגורי"/>
        <s v="ליהי אברמזון"/>
        <s v="מתן הלוי"/>
      </sharedItems>
    </cacheField>
    <cacheField name="מאמן" numFmtId="0">
      <sharedItems/>
    </cacheField>
    <cacheField name="אימון" numFmtId="0">
      <sharedItems/>
    </cacheField>
    <cacheField name="רישומי מתאמנים" numFmtId="0">
      <sharedItems containsSemiMixedTypes="0" containsString="0" containsNumber="1" containsInteger="1" minValue="0" maxValue="15"/>
    </cacheField>
    <cacheField name="צ'ק אין" numFmtId="0">
      <sharedItems containsSemiMixedTypes="0" containsString="0" containsNumber="1" containsInteger="1" minValue="0" maxValue="13"/>
    </cacheField>
    <cacheField name="רשימת המתנה" numFmtId="0">
      <sharedItems containsSemiMixedTypes="0" containsString="0" containsNumber="1" containsInteger="1" minValue="0" maxValue="31"/>
    </cacheField>
    <cacheField name="סניף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מנהל חדר כושר" refreshedDate="43506.666962962961" createdVersion="6" refreshedVersion="6" minRefreshableVersion="3" recordCount="88" xr:uid="{00000000-000A-0000-FFFF-FFFF09000000}">
  <cacheSource type="worksheet">
    <worksheetSource ref="A1:O89" sheet="גיליון1"/>
  </cacheSource>
  <cacheFields count="15">
    <cacheField name="תאריך" numFmtId="14">
      <sharedItems containsSemiMixedTypes="0" containsNonDate="0" containsDate="1" containsString="0" minDate="2019-01-01T00:00:00" maxDate="2019-02-01T00:00:00"/>
    </cacheField>
    <cacheField name="יום" numFmtId="0">
      <sharedItems/>
    </cacheField>
    <cacheField name="שעת התחלה" numFmtId="21">
      <sharedItems containsSemiMixedTypes="0" containsNonDate="0" containsDate="1" containsString="0" minDate="1899-12-30T07:30:00" maxDate="1899-12-30T19:00:00"/>
    </cacheField>
    <cacheField name="שעת סיום" numFmtId="21">
      <sharedItems containsSemiMixedTypes="0" containsNonDate="0" containsDate="1" containsString="0" minDate="1899-12-30T08:20:00" maxDate="1899-12-30T19:50:00"/>
    </cacheField>
    <cacheField name="סך שעות" numFmtId="0">
      <sharedItems containsSemiMixedTypes="0" containsString="0" containsNumber="1" minValue="0.83299999999999996" maxValue="0.83299999999999996"/>
    </cacheField>
    <cacheField name="סך דקות" numFmtId="0">
      <sharedItems containsSemiMixedTypes="0" containsString="0" containsNumber="1" containsInteger="1" minValue="50" maxValue="50"/>
    </cacheField>
    <cacheField name="סטטוס" numFmtId="0">
      <sharedItems/>
    </cacheField>
    <cacheField name="מאמן משני" numFmtId="0">
      <sharedItems count="12">
        <s v="אור-ים זגורי"/>
        <s v="זהבה מז'יבובסקי"/>
        <s v="ליהי אברמזון"/>
        <s v="ליאורה נוריאל"/>
        <s v="עדי סרי"/>
        <s v="ליאל ויינברגר"/>
        <s v="ספיר ילינביץ'"/>
        <s v="ברק ביטון"/>
        <s v="מורן גרינשטיין"/>
        <s v="דניאלה גכטמן"/>
        <s v="עמית אבן"/>
        <s v="שמוליק בריל"/>
      </sharedItems>
    </cacheField>
    <cacheField name="מאמן" numFmtId="0">
      <sharedItems count="1">
        <s v=" "/>
      </sharedItems>
    </cacheField>
    <cacheField name="אימון" numFmtId="0">
      <sharedItems/>
    </cacheField>
    <cacheField name="רישומי מתאמנים" numFmtId="0">
      <sharedItems containsSemiMixedTypes="0" containsString="0" containsNumber="1" containsInteger="1" minValue="4" maxValue="20"/>
    </cacheField>
    <cacheField name="אחוז תפוסה" numFmtId="0">
      <sharedItems containsSemiMixedTypes="0" containsString="0" containsNumber="1" minValue="33.33" maxValue="126.67"/>
    </cacheField>
    <cacheField name="צ'ק אין" numFmtId="0">
      <sharedItems containsSemiMixedTypes="0" containsString="0" containsNumber="1" containsInteger="1" minValue="0" maxValue="18"/>
    </cacheField>
    <cacheField name="רשימת המתנה" numFmtId="0">
      <sharedItems containsSemiMixedTypes="0" containsString="0" containsNumber="1" containsInteger="1" minValue="0" maxValue="16"/>
    </cacheField>
    <cacheField name="סניף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69">
  <r>
    <d v="2018-11-01T00:00:00"/>
    <s v="חמישי"/>
    <d v="1899-12-30T08:00:00"/>
    <d v="1899-12-30T08:50:00"/>
    <n v="0.83299999999999996"/>
    <n v="50"/>
    <x v="0"/>
    <x v="0"/>
    <s v=" "/>
    <s v="HIIT TRX"/>
    <n v="7"/>
    <n v="7"/>
    <n v="17"/>
    <s v="Alon Towers"/>
  </r>
  <r>
    <d v="2018-11-01T00:00:00"/>
    <s v="חמישי"/>
    <d v="1899-12-30T18:00:00"/>
    <d v="1899-12-30T18:50:00"/>
    <n v="0.83299999999999996"/>
    <n v="50"/>
    <x v="0"/>
    <x v="1"/>
    <s v=" "/>
    <s v="יוגה"/>
    <n v="10"/>
    <n v="6"/>
    <n v="31"/>
    <s v="Alon Towers"/>
  </r>
  <r>
    <d v="2018-11-04T00:00:00"/>
    <s v="ראשון"/>
    <d v="1899-12-30T08:30:00"/>
    <d v="1899-12-30T09:20:00"/>
    <n v="0.83299999999999996"/>
    <n v="50"/>
    <x v="0"/>
    <x v="1"/>
    <s v=" "/>
    <s v="יוגה"/>
    <n v="10"/>
    <n v="0"/>
    <n v="6"/>
    <s v="Alon Towers"/>
  </r>
  <r>
    <d v="2018-11-04T00:00:00"/>
    <s v="ראשון"/>
    <d v="1899-12-30T18:00:00"/>
    <d v="1899-12-30T18:50:00"/>
    <n v="0.83299999999999996"/>
    <n v="50"/>
    <x v="0"/>
    <x v="2"/>
    <s v=" "/>
    <s v="ALON SKILL"/>
    <n v="12"/>
    <n v="11"/>
    <n v="0"/>
    <s v="Alon Towers"/>
  </r>
  <r>
    <d v="2018-11-04T00:00:00"/>
    <s v="ראשון"/>
    <d v="1899-12-30T19:00:00"/>
    <d v="1899-12-30T19:50:00"/>
    <n v="0.83299999999999996"/>
    <n v="50"/>
    <x v="0"/>
    <x v="3"/>
    <s v=" "/>
    <s v="HIIT TRX"/>
    <n v="9"/>
    <n v="9"/>
    <n v="0"/>
    <s v="Alon Towers"/>
  </r>
  <r>
    <d v="2018-11-05T00:00:00"/>
    <s v="שני"/>
    <d v="1899-12-30T07:30:00"/>
    <d v="1899-12-30T08:20:00"/>
    <n v="0.83299999999999996"/>
    <n v="50"/>
    <x v="0"/>
    <x v="2"/>
    <s v=" "/>
    <s v="פילאטיס"/>
    <n v="9"/>
    <n v="8"/>
    <n v="0"/>
    <s v="Alon Towers"/>
  </r>
  <r>
    <d v="2018-11-05T00:00:00"/>
    <s v="שני"/>
    <d v="1899-12-30T08:30:00"/>
    <d v="1899-12-30T09:20:00"/>
    <n v="0.83299999999999996"/>
    <n v="50"/>
    <x v="0"/>
    <x v="4"/>
    <s v=" "/>
    <s v="HIIT פונקציונלי"/>
    <n v="10"/>
    <n v="9"/>
    <n v="0"/>
    <s v="Alon Towers"/>
  </r>
  <r>
    <d v="2018-11-05T00:00:00"/>
    <s v="שני"/>
    <d v="1899-12-30T19:00:00"/>
    <d v="1899-12-30T19:50:00"/>
    <n v="0.83299999999999996"/>
    <n v="50"/>
    <x v="0"/>
    <x v="1"/>
    <s v=" "/>
    <s v="יוגה"/>
    <n v="10"/>
    <n v="8"/>
    <n v="6"/>
    <s v="Alon Towers"/>
  </r>
  <r>
    <d v="2018-11-06T00:00:00"/>
    <s v="שלישי"/>
    <d v="1899-12-30T18:00:00"/>
    <d v="1899-12-30T18:50:00"/>
    <n v="0.83299999999999996"/>
    <n v="50"/>
    <x v="0"/>
    <x v="5"/>
    <s v=" "/>
    <s v="HIIT פונקציונלי"/>
    <n v="12"/>
    <n v="9"/>
    <n v="0"/>
    <s v="Alon Towers"/>
  </r>
  <r>
    <d v="2018-11-06T00:00:00"/>
    <s v="שלישי"/>
    <d v="1899-12-30T07:30:00"/>
    <d v="1899-12-30T08:20:00"/>
    <n v="0.83299999999999996"/>
    <n v="50"/>
    <x v="0"/>
    <x v="6"/>
    <s v=" "/>
    <s v="יוגה"/>
    <n v="5"/>
    <n v="3"/>
    <n v="0"/>
    <s v="Alon Towers"/>
  </r>
  <r>
    <d v="2018-11-06T00:00:00"/>
    <s v="שלישי"/>
    <d v="1899-12-30T08:30:00"/>
    <d v="1899-12-30T09:20:00"/>
    <n v="0.83299999999999996"/>
    <n v="50"/>
    <x v="0"/>
    <x v="7"/>
    <s v=" "/>
    <s v="HIIT TRX"/>
    <n v="6"/>
    <n v="4"/>
    <n v="0"/>
    <s v="Alon Towers"/>
  </r>
  <r>
    <d v="2018-11-07T00:00:00"/>
    <s v="רביעי"/>
    <d v="1899-12-30T18:00:00"/>
    <d v="1899-12-30T18:50:00"/>
    <n v="0.83299999999999996"/>
    <n v="50"/>
    <x v="0"/>
    <x v="2"/>
    <s v=" "/>
    <s v="פילאטיס"/>
    <n v="10"/>
    <n v="9"/>
    <n v="12"/>
    <s v="Alon Towers"/>
  </r>
  <r>
    <d v="2018-11-07T00:00:00"/>
    <s v="רביעי"/>
    <d v="1899-12-30T07:30:00"/>
    <d v="1899-12-30T08:20:00"/>
    <n v="0.83299999999999996"/>
    <n v="50"/>
    <x v="0"/>
    <x v="0"/>
    <s v=" "/>
    <s v="HIIT פונקציונלי"/>
    <n v="11"/>
    <n v="8"/>
    <n v="0"/>
    <s v="Alon Towers"/>
  </r>
  <r>
    <d v="2018-11-07T00:00:00"/>
    <s v="רביעי"/>
    <d v="1899-12-30T19:00:00"/>
    <d v="1899-12-30T19:50:00"/>
    <n v="0.83299999999999996"/>
    <n v="50"/>
    <x v="0"/>
    <x v="2"/>
    <s v=" "/>
    <s v="ALON SKILL"/>
    <n v="14"/>
    <n v="12"/>
    <n v="0"/>
    <s v="Alon Towers"/>
  </r>
  <r>
    <d v="2018-11-08T00:00:00"/>
    <s v="חמישי"/>
    <d v="1899-12-30T08:30:00"/>
    <d v="1899-12-30T09:20:00"/>
    <n v="0.83299999999999996"/>
    <n v="50"/>
    <x v="0"/>
    <x v="0"/>
    <s v=" "/>
    <s v="ALON SKILL"/>
    <n v="12"/>
    <n v="12"/>
    <n v="0"/>
    <s v="Alon Towers"/>
  </r>
  <r>
    <d v="2018-11-08T00:00:00"/>
    <s v="חמישי"/>
    <d v="1899-12-30T18:00:00"/>
    <d v="1899-12-30T18:50:00"/>
    <n v="0.83299999999999996"/>
    <n v="50"/>
    <x v="0"/>
    <x v="8"/>
    <s v=" "/>
    <s v="יוגה"/>
    <n v="11"/>
    <n v="8"/>
    <n v="16"/>
    <s v="Alon Towers"/>
  </r>
  <r>
    <d v="2018-11-08T00:00:00"/>
    <s v="חמישי"/>
    <d v="1899-12-30T19:00:00"/>
    <d v="1899-12-30T19:50:00"/>
    <n v="0.83299999999999996"/>
    <n v="50"/>
    <x v="0"/>
    <x v="3"/>
    <s v=" "/>
    <s v="OUTDOOR FUNCTIONAL"/>
    <n v="10"/>
    <n v="7"/>
    <n v="0"/>
    <s v="Alon Towers"/>
  </r>
  <r>
    <d v="2018-11-11T00:00:00"/>
    <s v="ראשון"/>
    <d v="1899-12-30T07:30:00"/>
    <d v="1899-12-30T08:20:00"/>
    <n v="0.83299999999999996"/>
    <n v="50"/>
    <x v="0"/>
    <x v="8"/>
    <s v=" "/>
    <s v="יוגה"/>
    <n v="10"/>
    <n v="10"/>
    <n v="0"/>
    <s v="Alon Towers"/>
  </r>
  <r>
    <d v="2018-11-11T00:00:00"/>
    <s v="ראשון"/>
    <d v="1899-12-30T18:00:00"/>
    <d v="1899-12-30T18:50:00"/>
    <n v="0.83299999999999996"/>
    <n v="50"/>
    <x v="0"/>
    <x v="9"/>
    <s v=" "/>
    <s v="KICK AND SHAPE"/>
    <n v="10"/>
    <n v="10"/>
    <n v="0"/>
    <s v="Alon Towers"/>
  </r>
  <r>
    <d v="2018-11-11T00:00:00"/>
    <s v="ראשון"/>
    <d v="1899-12-30T19:00:00"/>
    <d v="1899-12-30T19:50:00"/>
    <n v="0.83299999999999996"/>
    <n v="50"/>
    <x v="0"/>
    <x v="2"/>
    <s v=" "/>
    <s v="פילאטיס"/>
    <n v="9"/>
    <n v="8"/>
    <n v="0"/>
    <s v="Alon Towers"/>
  </r>
  <r>
    <d v="2018-11-12T00:00:00"/>
    <s v="שני"/>
    <d v="1899-12-30T07:30:00"/>
    <d v="1899-12-30T08:20:00"/>
    <n v="0.83299999999999996"/>
    <n v="50"/>
    <x v="0"/>
    <x v="2"/>
    <s v=" "/>
    <s v="פילאטיס"/>
    <n v="10"/>
    <n v="9"/>
    <n v="0"/>
    <s v="Alon Towers"/>
  </r>
  <r>
    <d v="2018-11-12T00:00:00"/>
    <s v="שני"/>
    <d v="1899-12-30T08:30:00"/>
    <d v="1899-12-30T09:20:00"/>
    <n v="0.83299999999999996"/>
    <n v="50"/>
    <x v="0"/>
    <x v="2"/>
    <s v=" "/>
    <s v="ALON SKILL"/>
    <n v="11"/>
    <n v="10"/>
    <n v="0"/>
    <s v="Alon Towers"/>
  </r>
  <r>
    <d v="2018-11-12T00:00:00"/>
    <s v="שני"/>
    <d v="1899-12-30T18:00:00"/>
    <d v="1899-12-30T18:50:00"/>
    <n v="0.83299999999999996"/>
    <n v="50"/>
    <x v="0"/>
    <x v="5"/>
    <s v=" "/>
    <s v="HIIT TRX"/>
    <n v="7"/>
    <n v="7"/>
    <n v="0"/>
    <s v="Alon Towers"/>
  </r>
  <r>
    <d v="2018-11-12T00:00:00"/>
    <s v="שני"/>
    <d v="1899-12-30T19:00:00"/>
    <d v="1899-12-30T19:50:00"/>
    <n v="0.83299999999999996"/>
    <n v="50"/>
    <x v="0"/>
    <x v="8"/>
    <s v=" "/>
    <s v="יוגה"/>
    <n v="10"/>
    <n v="8"/>
    <n v="10"/>
    <s v="Alon Towers"/>
  </r>
  <r>
    <d v="2018-11-13T00:00:00"/>
    <s v="שלישי"/>
    <d v="1899-12-30T08:30:00"/>
    <d v="1899-12-30T09:20:00"/>
    <n v="0.83299999999999996"/>
    <n v="50"/>
    <x v="0"/>
    <x v="4"/>
    <s v=" "/>
    <s v="HIIT פונקציונלי"/>
    <n v="6"/>
    <n v="5"/>
    <n v="0"/>
    <s v="Alon Towers"/>
  </r>
  <r>
    <d v="2018-11-13T00:00:00"/>
    <s v="שלישי"/>
    <d v="1899-12-30T18:00:00"/>
    <d v="1899-12-30T18:50:00"/>
    <n v="0.83299999999999996"/>
    <n v="50"/>
    <x v="0"/>
    <x v="3"/>
    <s v=" "/>
    <s v="OUTDOOR FUNCTIONAL"/>
    <n v="12"/>
    <n v="10"/>
    <n v="0"/>
    <s v="Alon Towers"/>
  </r>
  <r>
    <d v="2018-11-13T00:00:00"/>
    <s v="שלישי"/>
    <d v="1899-12-30T19:00:00"/>
    <d v="1899-12-30T19:50:00"/>
    <n v="0.83299999999999996"/>
    <n v="50"/>
    <x v="1"/>
    <x v="0"/>
    <s v=" "/>
    <s v="ALON SKILL"/>
    <n v="0"/>
    <n v="0"/>
    <n v="0"/>
    <s v="Alon Towers"/>
  </r>
  <r>
    <d v="2018-11-14T00:00:00"/>
    <s v="רביעי"/>
    <d v="1899-12-30T18:00:00"/>
    <d v="1899-12-30T18:50:00"/>
    <n v="0.83299999999999996"/>
    <n v="50"/>
    <x v="0"/>
    <x v="2"/>
    <s v=" "/>
    <s v="פילאטיס"/>
    <n v="10"/>
    <n v="8"/>
    <n v="6"/>
    <s v="Alon Towers"/>
  </r>
  <r>
    <d v="2018-11-14T00:00:00"/>
    <s v="רביעי"/>
    <d v="1899-12-30T07:30:00"/>
    <d v="1899-12-30T08:20:00"/>
    <n v="0.83299999999999996"/>
    <n v="50"/>
    <x v="0"/>
    <x v="7"/>
    <s v=" "/>
    <s v="HIIT פונקציונלי"/>
    <n v="12"/>
    <n v="11"/>
    <n v="0"/>
    <s v="Alon Towers"/>
  </r>
  <r>
    <d v="2018-11-14T00:00:00"/>
    <s v="רביעי"/>
    <d v="1899-12-30T08:30:00"/>
    <d v="1899-12-30T09:20:00"/>
    <n v="0.83299999999999996"/>
    <n v="50"/>
    <x v="0"/>
    <x v="6"/>
    <s v=" "/>
    <s v="יוגה"/>
    <n v="9"/>
    <n v="7"/>
    <n v="0"/>
    <s v="Alon Towers"/>
  </r>
  <r>
    <d v="2018-11-14T00:00:00"/>
    <s v="רביעי"/>
    <d v="1899-12-30T19:00:00"/>
    <d v="1899-12-30T19:50:00"/>
    <n v="0.83299999999999996"/>
    <n v="50"/>
    <x v="0"/>
    <x v="2"/>
    <s v=" "/>
    <s v="ALON SKILL"/>
    <n v="5"/>
    <n v="4"/>
    <n v="0"/>
    <s v="Alon Towers"/>
  </r>
  <r>
    <d v="2018-11-15T00:00:00"/>
    <s v="חמישי"/>
    <d v="1899-12-30T08:30:00"/>
    <d v="1899-12-30T09:20:00"/>
    <n v="0.83299999999999996"/>
    <n v="50"/>
    <x v="0"/>
    <x v="0"/>
    <s v=" "/>
    <s v="HIIT TRX"/>
    <n v="6"/>
    <n v="6"/>
    <n v="0"/>
    <s v="Alon Towers"/>
  </r>
  <r>
    <d v="2018-11-15T00:00:00"/>
    <s v="חמישי"/>
    <d v="1899-12-30T18:00:00"/>
    <d v="1899-12-30T18:50:00"/>
    <n v="0.83299999999999996"/>
    <n v="50"/>
    <x v="0"/>
    <x v="6"/>
    <s v=" "/>
    <s v="יוגה"/>
    <n v="10"/>
    <n v="10"/>
    <n v="11"/>
    <s v="Alon Towers"/>
  </r>
  <r>
    <d v="2018-11-15T00:00:00"/>
    <s v="חמישי"/>
    <d v="1899-12-30T19:00:00"/>
    <d v="1899-12-30T19:50:00"/>
    <n v="0.83299999999999996"/>
    <n v="50"/>
    <x v="0"/>
    <x v="3"/>
    <s v=" "/>
    <s v="HIIT פונקציונלי"/>
    <n v="13"/>
    <n v="13"/>
    <n v="0"/>
    <s v="Alon Towers"/>
  </r>
  <r>
    <d v="2018-11-18T00:00:00"/>
    <s v="ראשון"/>
    <d v="1899-12-30T07:30:00"/>
    <d v="1899-12-30T08:20:00"/>
    <n v="0.83299999999999996"/>
    <n v="50"/>
    <x v="0"/>
    <x v="6"/>
    <s v=" "/>
    <s v="יוגה"/>
    <n v="7"/>
    <n v="7"/>
    <n v="0"/>
    <s v="Alon Towers"/>
  </r>
  <r>
    <d v="2018-11-18T00:00:00"/>
    <s v="ראשון"/>
    <d v="1899-12-30T18:00:00"/>
    <d v="1899-12-30T18:50:00"/>
    <n v="0.83299999999999996"/>
    <n v="50"/>
    <x v="0"/>
    <x v="9"/>
    <s v=" "/>
    <s v="KICKBOX"/>
    <n v="10"/>
    <n v="8"/>
    <n v="0"/>
    <s v="Alon Towers"/>
  </r>
  <r>
    <d v="2018-11-18T00:00:00"/>
    <s v="ראשון"/>
    <d v="1899-12-30T08:30:00"/>
    <d v="1899-12-30T09:20:00"/>
    <n v="0.83299999999999996"/>
    <n v="50"/>
    <x v="0"/>
    <x v="4"/>
    <s v=" "/>
    <s v="HIIT TRX"/>
    <n v="10"/>
    <n v="10"/>
    <n v="0"/>
    <s v="Alon Towers"/>
  </r>
  <r>
    <d v="2018-11-19T00:00:00"/>
    <s v="שני"/>
    <d v="1899-12-30T07:30:00"/>
    <d v="1899-12-30T08:20:00"/>
    <n v="0.83299999999999996"/>
    <n v="50"/>
    <x v="0"/>
    <x v="2"/>
    <s v=" "/>
    <s v="פילאטיס"/>
    <n v="8"/>
    <n v="7"/>
    <n v="0"/>
    <s v="Alon Towers"/>
  </r>
  <r>
    <d v="2018-11-19T00:00:00"/>
    <s v="שני"/>
    <d v="1899-12-30T18:00:00"/>
    <d v="1899-12-30T18:50:00"/>
    <n v="0.83299999999999996"/>
    <n v="50"/>
    <x v="0"/>
    <x v="5"/>
    <s v=" "/>
    <s v="HIIT פונקציונלי"/>
    <n v="11"/>
    <n v="11"/>
    <n v="0"/>
    <s v="Alon Towers"/>
  </r>
  <r>
    <d v="2018-11-19T00:00:00"/>
    <s v="שני"/>
    <d v="1899-12-30T08:30:00"/>
    <d v="1899-12-30T09:20:00"/>
    <n v="0.83299999999999996"/>
    <n v="50"/>
    <x v="0"/>
    <x v="2"/>
    <s v=" "/>
    <s v="ALON SKILL"/>
    <n v="6"/>
    <n v="6"/>
    <n v="0"/>
    <s v="Alon Towers"/>
  </r>
  <r>
    <d v="2018-11-19T00:00:00"/>
    <s v="שני"/>
    <d v="1899-12-30T19:00:00"/>
    <d v="1899-12-30T19:50:00"/>
    <n v="0.83299999999999996"/>
    <n v="50"/>
    <x v="0"/>
    <x v="8"/>
    <s v=" "/>
    <s v="יוגה"/>
    <n v="10"/>
    <n v="10"/>
    <n v="3"/>
    <s v="Alon Towers"/>
  </r>
  <r>
    <d v="2018-11-20T00:00:00"/>
    <s v="שלישי"/>
    <d v="1899-12-30T07:30:00"/>
    <d v="1899-12-30T08:20:00"/>
    <n v="0.83299999999999996"/>
    <n v="50"/>
    <x v="0"/>
    <x v="7"/>
    <s v=" "/>
    <s v="HIIT פונקציונלי"/>
    <n v="13"/>
    <n v="13"/>
    <n v="0"/>
    <s v="Alon Towers"/>
  </r>
  <r>
    <d v="2018-11-20T00:00:00"/>
    <s v="שלישי"/>
    <d v="1899-12-30T18:00:00"/>
    <d v="1899-12-30T18:50:00"/>
    <n v="0.83299999999999996"/>
    <n v="50"/>
    <x v="0"/>
    <x v="0"/>
    <s v=" "/>
    <s v="HIIT TRX"/>
    <n v="12"/>
    <n v="12"/>
    <n v="1"/>
    <s v="Alon Towers"/>
  </r>
  <r>
    <d v="2018-11-20T00:00:00"/>
    <s v="שלישי"/>
    <d v="1899-12-30T19:00:00"/>
    <d v="1899-12-30T19:50:00"/>
    <n v="0.83299999999999996"/>
    <n v="50"/>
    <x v="0"/>
    <x v="2"/>
    <s v=" "/>
    <s v="פילאטיס"/>
    <n v="6"/>
    <n v="5"/>
    <n v="0"/>
    <s v="Alon Towers"/>
  </r>
  <r>
    <d v="2018-11-20T00:00:00"/>
    <s v="שלישי"/>
    <d v="1899-12-30T08:30:00"/>
    <d v="1899-12-30T09:20:00"/>
    <n v="0.83299999999999996"/>
    <n v="50"/>
    <x v="0"/>
    <x v="8"/>
    <s v=" "/>
    <s v="יוגה"/>
    <n v="10"/>
    <n v="7"/>
    <n v="1"/>
    <s v="Alon Towers"/>
  </r>
  <r>
    <d v="2018-11-21T00:00:00"/>
    <s v="רביעי"/>
    <d v="1899-12-30T18:30:00"/>
    <d v="1899-12-30T19:20:00"/>
    <n v="0.83299999999999996"/>
    <n v="50"/>
    <x v="0"/>
    <x v="2"/>
    <s v=" "/>
    <s v="ALON SKILL"/>
    <n v="13"/>
    <n v="12"/>
    <n v="0"/>
    <s v="Alon Towers"/>
  </r>
  <r>
    <d v="2018-11-21T00:00:00"/>
    <s v="רביעי"/>
    <d v="1899-12-30T07:30:00"/>
    <d v="1899-12-30T08:20:00"/>
    <n v="0.83299999999999996"/>
    <n v="50"/>
    <x v="0"/>
    <x v="6"/>
    <s v=" "/>
    <s v="יוגה"/>
    <n v="10"/>
    <n v="6"/>
    <n v="1"/>
    <s v="Alon Towers"/>
  </r>
  <r>
    <d v="2018-11-21T00:00:00"/>
    <s v="רביעי"/>
    <d v="1899-12-30T17:30:00"/>
    <d v="1899-12-30T18:20:00"/>
    <n v="0.83299999999999996"/>
    <n v="50"/>
    <x v="0"/>
    <x v="2"/>
    <s v=" "/>
    <s v="פילאטיס"/>
    <n v="10"/>
    <n v="10"/>
    <n v="1"/>
    <s v="Alon Towers"/>
  </r>
  <r>
    <d v="2018-11-22T00:00:00"/>
    <s v="חמישי"/>
    <d v="1899-12-30T08:30:00"/>
    <d v="1899-12-30T09:20:00"/>
    <n v="0.83299999999999996"/>
    <n v="50"/>
    <x v="0"/>
    <x v="0"/>
    <s v=" "/>
    <s v="HIIT פונקציונלי"/>
    <n v="15"/>
    <n v="10"/>
    <n v="0"/>
    <s v="Alon Towers"/>
  </r>
  <r>
    <d v="2018-11-22T00:00:00"/>
    <s v="חמישי"/>
    <d v="1899-12-30T17:30:00"/>
    <d v="1899-12-30T18:20:00"/>
    <n v="0.83299999999999996"/>
    <n v="50"/>
    <x v="0"/>
    <x v="6"/>
    <s v=" "/>
    <s v="יוגה"/>
    <n v="10"/>
    <n v="7"/>
    <n v="11"/>
    <s v="Alon Towers"/>
  </r>
  <r>
    <d v="2018-11-22T00:00:00"/>
    <s v="חמישי"/>
    <d v="1899-12-30T18:30:00"/>
    <d v="1899-12-30T19:20:00"/>
    <n v="0.83299999999999996"/>
    <n v="50"/>
    <x v="0"/>
    <x v="3"/>
    <s v=" "/>
    <s v="OUTDOOR FUNCTIONAL"/>
    <n v="15"/>
    <n v="10"/>
    <n v="0"/>
    <s v="Alon Towers"/>
  </r>
  <r>
    <d v="2018-11-25T00:00:00"/>
    <s v="ראשון"/>
    <d v="1899-12-30T07:30:00"/>
    <d v="1899-12-30T08:20:00"/>
    <n v="0.83299999999999996"/>
    <n v="50"/>
    <x v="1"/>
    <x v="4"/>
    <s v=" "/>
    <s v="HIIT TRX"/>
    <n v="0"/>
    <n v="0"/>
    <n v="0"/>
    <s v="Alon Towers"/>
  </r>
  <r>
    <d v="2018-11-25T00:00:00"/>
    <s v="ראשון"/>
    <d v="1899-12-30T17:30:00"/>
    <d v="1899-12-30T18:20:00"/>
    <n v="0.83299999999999996"/>
    <n v="50"/>
    <x v="0"/>
    <x v="2"/>
    <s v=" "/>
    <s v="פילאטיס"/>
    <n v="8"/>
    <n v="8"/>
    <n v="0"/>
    <s v="Alon Towers"/>
  </r>
  <r>
    <d v="2018-11-25T00:00:00"/>
    <s v="ראשון"/>
    <d v="1899-12-30T08:30:00"/>
    <d v="1899-12-30T09:20:00"/>
    <n v="0.83299999999999996"/>
    <n v="50"/>
    <x v="0"/>
    <x v="8"/>
    <s v=" "/>
    <s v="יוגה"/>
    <n v="9"/>
    <n v="9"/>
    <n v="2"/>
    <s v="Alon Towers"/>
  </r>
  <r>
    <d v="2018-11-25T00:00:00"/>
    <s v="ראשון"/>
    <d v="1899-12-30T18:30:00"/>
    <d v="1899-12-30T19:20:00"/>
    <n v="0.83299999999999996"/>
    <n v="50"/>
    <x v="0"/>
    <x v="3"/>
    <s v=" "/>
    <s v="OUTDOOR FUNCTIONAL"/>
    <n v="15"/>
    <n v="12"/>
    <n v="0"/>
    <s v="Alon Towers"/>
  </r>
  <r>
    <d v="2018-11-26T00:00:00"/>
    <s v="שני"/>
    <d v="1899-12-30T07:30:00"/>
    <d v="1899-12-30T08:20:00"/>
    <n v="0.83299999999999996"/>
    <n v="50"/>
    <x v="0"/>
    <x v="2"/>
    <s v=" "/>
    <s v="פילאטיס"/>
    <n v="10"/>
    <n v="7"/>
    <n v="2"/>
    <s v="Alon Towers"/>
  </r>
  <r>
    <d v="2018-11-26T00:00:00"/>
    <s v="שני"/>
    <d v="1899-12-30T18:00:00"/>
    <d v="1899-12-30T18:50:00"/>
    <n v="0.83299999999999996"/>
    <n v="50"/>
    <x v="0"/>
    <x v="5"/>
    <s v=" "/>
    <s v="HIIT פונקציונלי"/>
    <n v="11"/>
    <n v="11"/>
    <n v="0"/>
    <s v="Alon Towers"/>
  </r>
  <r>
    <d v="2018-11-26T00:00:00"/>
    <s v="שני"/>
    <d v="1899-12-30T19:00:00"/>
    <d v="1899-12-30T19:50:00"/>
    <n v="0.83299999999999996"/>
    <n v="50"/>
    <x v="0"/>
    <x v="8"/>
    <s v=" "/>
    <s v="יוגה"/>
    <n v="10"/>
    <n v="9"/>
    <n v="7"/>
    <s v="Alon Towers"/>
  </r>
  <r>
    <d v="2018-11-26T00:00:00"/>
    <s v="שני"/>
    <d v="1899-12-30T08:30:00"/>
    <d v="1899-12-30T09:20:00"/>
    <n v="0.83299999999999996"/>
    <n v="50"/>
    <x v="0"/>
    <x v="2"/>
    <s v=" "/>
    <s v="ALON SKILL"/>
    <n v="9"/>
    <n v="8"/>
    <n v="0"/>
    <s v="Alon Towers"/>
  </r>
  <r>
    <d v="2018-11-27T00:00:00"/>
    <s v="שלישי"/>
    <d v="1899-12-30T07:30:00"/>
    <d v="1899-12-30T08:20:00"/>
    <n v="0.83299999999999996"/>
    <n v="50"/>
    <x v="0"/>
    <x v="7"/>
    <s v=" "/>
    <s v="HIIT פונקציונלי"/>
    <n v="9"/>
    <n v="9"/>
    <n v="0"/>
    <s v="Alon Towers"/>
  </r>
  <r>
    <d v="2018-11-27T00:00:00"/>
    <s v="שלישי"/>
    <d v="1899-12-30T18:00:00"/>
    <d v="1899-12-30T18:50:00"/>
    <n v="0.83299999999999996"/>
    <n v="50"/>
    <x v="0"/>
    <x v="0"/>
    <s v=" "/>
    <s v="HIIT TRX"/>
    <n v="10"/>
    <n v="7"/>
    <n v="0"/>
    <s v="Alon Towers"/>
  </r>
  <r>
    <d v="2018-11-27T00:00:00"/>
    <s v="שלישי"/>
    <d v="1899-12-30T08:30:00"/>
    <d v="1899-12-30T09:20:00"/>
    <n v="0.83299999999999996"/>
    <n v="50"/>
    <x v="0"/>
    <x v="6"/>
    <s v=" "/>
    <s v="יוגה"/>
    <n v="9"/>
    <n v="9"/>
    <n v="6"/>
    <s v="Alon Towers"/>
  </r>
  <r>
    <d v="2018-11-28T00:00:00"/>
    <s v="רביעי"/>
    <d v="1899-12-30T18:30:00"/>
    <d v="1899-12-30T19:20:00"/>
    <n v="0.83299999999999996"/>
    <n v="50"/>
    <x v="0"/>
    <x v="2"/>
    <s v=" "/>
    <s v="ALON SKILL"/>
    <n v="15"/>
    <n v="13"/>
    <n v="3"/>
    <s v="Alon Towers"/>
  </r>
  <r>
    <d v="2018-11-28T00:00:00"/>
    <s v="רביעי"/>
    <d v="1899-12-30T07:30:00"/>
    <d v="1899-12-30T08:20:00"/>
    <n v="0.83299999999999996"/>
    <n v="50"/>
    <x v="0"/>
    <x v="6"/>
    <s v=" "/>
    <s v="יוגה"/>
    <n v="10"/>
    <n v="8"/>
    <n v="2"/>
    <s v="Alon Towers"/>
  </r>
  <r>
    <d v="2018-11-28T00:00:00"/>
    <s v="רביעי"/>
    <d v="1899-12-30T17:30:00"/>
    <d v="1899-12-30T18:20:00"/>
    <n v="0.83299999999999996"/>
    <n v="50"/>
    <x v="0"/>
    <x v="2"/>
    <s v=" "/>
    <s v="פילאטיס"/>
    <n v="10"/>
    <n v="10"/>
    <n v="3"/>
    <s v="Alon Towers"/>
  </r>
  <r>
    <d v="2018-11-29T00:00:00"/>
    <s v="חמישי"/>
    <d v="1899-12-30T08:30:00"/>
    <d v="1899-12-30T09:20:00"/>
    <n v="0.83299999999999996"/>
    <n v="50"/>
    <x v="0"/>
    <x v="0"/>
    <s v=" "/>
    <s v="HIIT פונקציונלי"/>
    <n v="15"/>
    <n v="11"/>
    <n v="0"/>
    <s v="Alon Towers"/>
  </r>
  <r>
    <d v="2018-11-29T00:00:00"/>
    <s v="חמישי"/>
    <d v="1899-12-30T17:30:00"/>
    <d v="1899-12-30T18:20:00"/>
    <n v="0.83299999999999996"/>
    <n v="50"/>
    <x v="0"/>
    <x v="6"/>
    <s v=" "/>
    <s v="יוגה"/>
    <n v="10"/>
    <n v="9"/>
    <n v="15"/>
    <s v="Alon Towers"/>
  </r>
  <r>
    <d v="2018-11-29T00:00:00"/>
    <s v="חמישי"/>
    <d v="1899-12-30T18:30:00"/>
    <d v="1899-12-30T19:20:00"/>
    <n v="0.83299999999999996"/>
    <n v="50"/>
    <x v="0"/>
    <x v="3"/>
    <s v=" "/>
    <s v="HIIT TRX"/>
    <n v="12"/>
    <n v="8"/>
    <n v="4"/>
    <s v="Alon Towers"/>
  </r>
  <r>
    <d v="2018-11-29T00:00:00"/>
    <s v="חמישי"/>
    <d v="1899-12-30T07:30:00"/>
    <d v="1899-12-30T08:20:00"/>
    <n v="0.83299999999999996"/>
    <n v="50"/>
    <x v="0"/>
    <x v="0"/>
    <s v=" "/>
    <s v="core ומתיחות"/>
    <n v="10"/>
    <n v="6"/>
    <n v="0"/>
    <s v="Alon Towers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88">
  <r>
    <d v="2019-01-01T00:00:00"/>
    <s v="שלישי"/>
    <d v="1899-12-30T07:30:00"/>
    <d v="1899-12-30T08:20:00"/>
    <n v="0.83299999999999996"/>
    <n v="50"/>
    <s v="מתקיים"/>
    <x v="0"/>
    <x v="0"/>
    <s v="HIIT פונקציונלי"/>
    <n v="13"/>
    <n v="86.67"/>
    <n v="12"/>
    <n v="0"/>
    <s v="Alon Towers"/>
  </r>
  <r>
    <d v="2019-01-01T00:00:00"/>
    <s v="שלישי"/>
    <d v="1899-12-30T18:30:00"/>
    <d v="1899-12-30T19:20:00"/>
    <n v="0.83299999999999996"/>
    <n v="50"/>
    <s v="מתקיים"/>
    <x v="1"/>
    <x v="0"/>
    <s v="core ומתיחות"/>
    <n v="12"/>
    <n v="100"/>
    <n v="8"/>
    <n v="1"/>
    <s v="Alon Towers"/>
  </r>
  <r>
    <d v="2019-01-01T00:00:00"/>
    <s v="שלישי"/>
    <d v="1899-12-30T08:30:00"/>
    <d v="1899-12-30T09:20:00"/>
    <n v="0.83299999999999996"/>
    <n v="50"/>
    <s v="מתקיים"/>
    <x v="2"/>
    <x v="0"/>
    <s v="יוגה"/>
    <n v="12"/>
    <n v="100"/>
    <n v="10"/>
    <n v="5"/>
    <s v="Alon Towers"/>
  </r>
  <r>
    <d v="2019-01-01T00:00:00"/>
    <s v="שלישי"/>
    <d v="1899-12-30T17:30:00"/>
    <d v="1899-12-30T18:20:00"/>
    <n v="0.83299999999999996"/>
    <n v="50"/>
    <s v="מתקיים"/>
    <x v="3"/>
    <x v="0"/>
    <s v="Kickbox"/>
    <n v="14"/>
    <n v="93.33"/>
    <n v="11"/>
    <n v="0"/>
    <s v="Alon Towers"/>
  </r>
  <r>
    <d v="2019-01-02T00:00:00"/>
    <s v="רביעי"/>
    <d v="1899-12-30T18:30:00"/>
    <d v="1899-12-30T19:20:00"/>
    <n v="0.83299999999999996"/>
    <n v="50"/>
    <s v="מתקיים"/>
    <x v="4"/>
    <x v="0"/>
    <s v="Alon Skill"/>
    <n v="15"/>
    <n v="100"/>
    <n v="11"/>
    <n v="10"/>
    <s v="Alon Towers"/>
  </r>
  <r>
    <d v="2019-01-02T00:00:00"/>
    <s v="רביעי"/>
    <d v="1899-12-30T07:30:00"/>
    <d v="1899-12-30T08:20:00"/>
    <n v="0.83299999999999996"/>
    <n v="50"/>
    <s v="מתקיים"/>
    <x v="5"/>
    <x v="0"/>
    <s v="יוגה"/>
    <n v="12"/>
    <n v="100"/>
    <n v="6"/>
    <n v="0"/>
    <s v="Alon Towers"/>
  </r>
  <r>
    <d v="2019-01-02T00:00:00"/>
    <s v="רביעי"/>
    <d v="1899-12-30T17:30:00"/>
    <d v="1899-12-30T18:20:00"/>
    <n v="0.83299999999999996"/>
    <n v="50"/>
    <s v="מתקיים"/>
    <x v="4"/>
    <x v="0"/>
    <s v="פילאטיס"/>
    <n v="10"/>
    <n v="100"/>
    <n v="8"/>
    <n v="11"/>
    <s v="Alon Towers"/>
  </r>
  <r>
    <d v="2019-01-03T00:00:00"/>
    <s v="חמישי"/>
    <d v="1899-12-30T08:30:00"/>
    <d v="1899-12-30T09:20:00"/>
    <n v="0.83299999999999996"/>
    <n v="50"/>
    <s v="מתקיים"/>
    <x v="6"/>
    <x v="0"/>
    <s v="פילאטיס"/>
    <n v="10"/>
    <n v="100"/>
    <n v="8"/>
    <n v="2"/>
    <s v="Alon Towers"/>
  </r>
  <r>
    <d v="2019-01-03T00:00:00"/>
    <s v="חמישי"/>
    <d v="1899-12-30T17:30:00"/>
    <d v="1899-12-30T18:20:00"/>
    <n v="0.83299999999999996"/>
    <n v="50"/>
    <s v="מתקיים"/>
    <x v="2"/>
    <x v="0"/>
    <s v="Power Yoga"/>
    <n v="12"/>
    <n v="100"/>
    <n v="9"/>
    <n v="5"/>
    <s v="Alon Towers"/>
  </r>
  <r>
    <d v="2019-01-03T00:00:00"/>
    <s v="חמישי"/>
    <d v="1899-12-30T18:30:00"/>
    <d v="1899-12-30T19:20:00"/>
    <n v="0.83299999999999996"/>
    <n v="50"/>
    <s v="מתקיים"/>
    <x v="7"/>
    <x v="0"/>
    <s v="Ouotdoor Functional"/>
    <n v="20"/>
    <n v="100"/>
    <n v="18"/>
    <n v="0"/>
    <s v="Alon Towers"/>
  </r>
  <r>
    <d v="2019-01-03T00:00:00"/>
    <s v="חמישי"/>
    <d v="1899-12-30T07:30:00"/>
    <d v="1899-12-30T08:20:00"/>
    <n v="0.83299999999999996"/>
    <n v="50"/>
    <s v="מתקיים"/>
    <x v="1"/>
    <x v="0"/>
    <s v="HIIT TRX"/>
    <n v="11"/>
    <n v="78.569999999999993"/>
    <n v="9"/>
    <n v="0"/>
    <s v="Alon Towers"/>
  </r>
  <r>
    <d v="2019-01-06T00:00:00"/>
    <s v="ראשון"/>
    <d v="1899-12-30T08:30:00"/>
    <d v="1899-12-30T09:20:00"/>
    <n v="0.83299999999999996"/>
    <n v="50"/>
    <s v="מתקיים"/>
    <x v="2"/>
    <x v="0"/>
    <s v="יוגה"/>
    <n v="12"/>
    <n v="100"/>
    <n v="12"/>
    <n v="5"/>
    <s v="Alon Towers"/>
  </r>
  <r>
    <d v="2019-01-06T00:00:00"/>
    <s v="ראשון"/>
    <d v="1899-12-30T19:00:00"/>
    <d v="1899-12-30T19:50:00"/>
    <n v="0.83299999999999996"/>
    <n v="50"/>
    <s v="מתקיים"/>
    <x v="7"/>
    <x v="0"/>
    <s v="Ouotdoor Functional"/>
    <n v="15"/>
    <n v="100"/>
    <n v="15"/>
    <n v="0"/>
    <s v="Alon Towers"/>
  </r>
  <r>
    <d v="2019-01-06T00:00:00"/>
    <s v="ראשון"/>
    <d v="1899-12-30T18:00:00"/>
    <d v="1899-12-30T18:50:00"/>
    <n v="0.83299999999999996"/>
    <n v="50"/>
    <s v="מתקיים"/>
    <x v="1"/>
    <x v="0"/>
    <s v="core ומתיחות"/>
    <n v="12"/>
    <n v="100"/>
    <n v="10"/>
    <n v="4"/>
    <s v="Alon Towers"/>
  </r>
  <r>
    <d v="2019-01-07T00:00:00"/>
    <s v="שני"/>
    <d v="1899-12-30T07:30:00"/>
    <d v="1899-12-30T08:20:00"/>
    <n v="0.83299999999999996"/>
    <n v="50"/>
    <s v="מתקיים"/>
    <x v="4"/>
    <x v="0"/>
    <s v="פילאטיס"/>
    <n v="12"/>
    <n v="100"/>
    <n v="12"/>
    <n v="5"/>
    <s v="Alon Towers"/>
  </r>
  <r>
    <d v="2019-01-07T00:00:00"/>
    <s v="שני"/>
    <d v="1899-12-30T18:00:00"/>
    <d v="1899-12-30T18:50:00"/>
    <n v="0.83299999999999996"/>
    <n v="50"/>
    <s v="מתקיים"/>
    <x v="8"/>
    <x v="0"/>
    <s v="HIIT פונקציונלי"/>
    <n v="15"/>
    <n v="100"/>
    <n v="13"/>
    <n v="3"/>
    <s v="Alon Towers"/>
  </r>
  <r>
    <d v="2019-01-07T00:00:00"/>
    <s v="שני"/>
    <d v="1899-12-30T17:00:00"/>
    <d v="1899-12-30T17:50:00"/>
    <n v="0.83299999999999996"/>
    <n v="50"/>
    <s v="מתקיים"/>
    <x v="2"/>
    <x v="0"/>
    <s v="יוגה"/>
    <n v="12"/>
    <n v="100"/>
    <n v="10"/>
    <n v="5"/>
    <s v="Alon Towers"/>
  </r>
  <r>
    <d v="2019-01-07T00:00:00"/>
    <s v="שני"/>
    <d v="1899-12-30T08:30:00"/>
    <d v="1899-12-30T09:20:00"/>
    <n v="0.83299999999999996"/>
    <n v="50"/>
    <s v="מתקיים"/>
    <x v="4"/>
    <x v="0"/>
    <s v="Alon Skill"/>
    <n v="10"/>
    <n v="66.67"/>
    <n v="7"/>
    <n v="0"/>
    <s v="Alon Towers"/>
  </r>
  <r>
    <d v="2019-01-08T00:00:00"/>
    <s v="שלישי"/>
    <d v="1899-12-30T07:30:00"/>
    <d v="1899-12-30T08:20:00"/>
    <n v="0.83299999999999996"/>
    <n v="50"/>
    <s v="מתקיים"/>
    <x v="0"/>
    <x v="0"/>
    <s v="HIIT פונקציונלי"/>
    <n v="12"/>
    <n v="80"/>
    <n v="11"/>
    <n v="0"/>
    <s v="Alon Towers"/>
  </r>
  <r>
    <d v="2019-01-08T00:00:00"/>
    <s v="שלישי"/>
    <d v="1899-12-30T18:45:00"/>
    <d v="1899-12-30T19:35:00"/>
    <n v="0.83299999999999996"/>
    <n v="50"/>
    <s v="מתקיים"/>
    <x v="1"/>
    <x v="0"/>
    <s v="core ומתיחות"/>
    <n v="12"/>
    <n v="100"/>
    <n v="9"/>
    <n v="4"/>
    <s v="Alon Towers"/>
  </r>
  <r>
    <d v="2019-01-08T00:00:00"/>
    <s v="שלישי"/>
    <d v="1899-12-30T08:30:00"/>
    <d v="1899-12-30T09:20:00"/>
    <n v="0.83299999999999996"/>
    <n v="50"/>
    <s v="מתקיים"/>
    <x v="2"/>
    <x v="0"/>
    <s v="יוגה"/>
    <n v="11"/>
    <n v="91.67"/>
    <n v="10"/>
    <n v="0"/>
    <s v="Alon Towers"/>
  </r>
  <r>
    <d v="2019-01-08T00:00:00"/>
    <s v="שלישי"/>
    <d v="1899-12-30T17:45:00"/>
    <d v="1899-12-30T18:35:00"/>
    <n v="0.83299999999999996"/>
    <n v="50"/>
    <s v="מתקיים"/>
    <x v="3"/>
    <x v="0"/>
    <s v="Kickbox"/>
    <n v="13"/>
    <n v="86.67"/>
    <n v="8"/>
    <n v="0"/>
    <s v="Alon Towers"/>
  </r>
  <r>
    <d v="2019-01-09T00:00:00"/>
    <s v="רביעי"/>
    <d v="1899-12-30T18:30:00"/>
    <d v="1899-12-30T19:20:00"/>
    <n v="0.83299999999999996"/>
    <n v="50"/>
    <s v="מתקיים"/>
    <x v="1"/>
    <x v="0"/>
    <s v="Alon Skill"/>
    <n v="15"/>
    <n v="100"/>
    <n v="12"/>
    <n v="2"/>
    <s v="Alon Towers"/>
  </r>
  <r>
    <d v="2019-01-09T00:00:00"/>
    <s v="רביעי"/>
    <d v="1899-12-30T07:30:00"/>
    <d v="1899-12-30T08:20:00"/>
    <n v="0.83299999999999996"/>
    <n v="50"/>
    <s v="מתקיים"/>
    <x v="9"/>
    <x v="0"/>
    <s v="יוגה"/>
    <n v="12"/>
    <n v="100"/>
    <n v="9"/>
    <n v="1"/>
    <s v="Alon Towers"/>
  </r>
  <r>
    <d v="2019-01-09T00:00:00"/>
    <s v="רביעי"/>
    <d v="1899-12-30T17:30:00"/>
    <d v="1899-12-30T18:20:00"/>
    <n v="0.83299999999999996"/>
    <n v="50"/>
    <s v="מתקיים"/>
    <x v="1"/>
    <x v="0"/>
    <s v="core ומתיחות"/>
    <n v="12"/>
    <n v="100"/>
    <n v="10"/>
    <n v="5"/>
    <s v="Alon Towers"/>
  </r>
  <r>
    <d v="2019-01-09T00:00:00"/>
    <s v="רביעי"/>
    <d v="1899-12-30T08:30:00"/>
    <d v="1899-12-30T09:20:00"/>
    <n v="0.83299999999999996"/>
    <n v="50"/>
    <s v="מתקיים"/>
    <x v="10"/>
    <x v="0"/>
    <s v="HIIT TRX"/>
    <n v="5"/>
    <n v="35.71"/>
    <n v="3"/>
    <n v="0"/>
    <s v="Alon Towers"/>
  </r>
  <r>
    <d v="2019-01-10T00:00:00"/>
    <s v="חמישי"/>
    <d v="1899-12-30T17:30:00"/>
    <d v="1899-12-30T18:20:00"/>
    <n v="0.83299999999999996"/>
    <n v="50"/>
    <s v="מתקיים"/>
    <x v="2"/>
    <x v="0"/>
    <s v="Power Yoga"/>
    <n v="12"/>
    <n v="100"/>
    <n v="11"/>
    <n v="7"/>
    <s v="Alon Towers"/>
  </r>
  <r>
    <d v="2019-01-10T00:00:00"/>
    <s v="חמישי"/>
    <d v="1899-12-30T18:30:00"/>
    <d v="1899-12-30T19:20:00"/>
    <n v="0.83299999999999996"/>
    <n v="50"/>
    <s v="מתקיים"/>
    <x v="7"/>
    <x v="0"/>
    <s v="Alon Cross"/>
    <n v="15"/>
    <n v="100"/>
    <n v="12"/>
    <n v="3"/>
    <s v="Alon Towers"/>
  </r>
  <r>
    <d v="2019-01-10T00:00:00"/>
    <s v="חמישי"/>
    <d v="1899-12-30T07:30:00"/>
    <d v="1899-12-30T08:20:00"/>
    <n v="0.83299999999999996"/>
    <n v="50"/>
    <s v="מתקיים"/>
    <x v="1"/>
    <x v="0"/>
    <s v="Ouotdoor Functional"/>
    <n v="8"/>
    <n v="53.33"/>
    <n v="6"/>
    <n v="0"/>
    <s v="Alon Towers"/>
  </r>
  <r>
    <d v="2019-01-10T00:00:00"/>
    <s v="חמישי"/>
    <d v="1899-12-30T08:30:00"/>
    <d v="1899-12-30T09:20:00"/>
    <n v="0.83299999999999996"/>
    <n v="50"/>
    <s v="מתקיים"/>
    <x v="6"/>
    <x v="0"/>
    <s v="פילאטיס"/>
    <n v="11"/>
    <n v="91.67"/>
    <n v="7"/>
    <n v="0"/>
    <s v="Alon Towers"/>
  </r>
  <r>
    <d v="2019-01-13T00:00:00"/>
    <s v="ראשון"/>
    <d v="1899-12-30T08:30:00"/>
    <d v="1899-12-30T09:20:00"/>
    <n v="0.83299999999999996"/>
    <n v="50"/>
    <s v="מתקיים"/>
    <x v="2"/>
    <x v="0"/>
    <s v="יוגה"/>
    <n v="12"/>
    <n v="100"/>
    <n v="10"/>
    <n v="2"/>
    <s v="Alon Towers"/>
  </r>
  <r>
    <d v="2019-01-13T00:00:00"/>
    <s v="ראשון"/>
    <d v="1899-12-30T19:00:00"/>
    <d v="1899-12-30T19:50:00"/>
    <n v="0.83299999999999996"/>
    <n v="50"/>
    <s v="מתקיים"/>
    <x v="7"/>
    <x v="0"/>
    <s v="Alon Cross"/>
    <n v="17"/>
    <n v="113.33"/>
    <n v="15"/>
    <n v="4"/>
    <s v="Alon Towers"/>
  </r>
  <r>
    <d v="2019-01-13T00:00:00"/>
    <s v="ראשון"/>
    <d v="1899-12-30T18:00:00"/>
    <d v="1899-12-30T18:50:00"/>
    <n v="0.83299999999999996"/>
    <n v="50"/>
    <s v="מתקיים"/>
    <x v="1"/>
    <x v="0"/>
    <s v="core ומתיחות"/>
    <n v="13"/>
    <n v="108.33"/>
    <n v="12"/>
    <n v="2"/>
    <s v="Alon Towers"/>
  </r>
  <r>
    <d v="2019-01-14T00:00:00"/>
    <s v="שני"/>
    <d v="1899-12-30T07:30:00"/>
    <d v="1899-12-30T08:20:00"/>
    <n v="0.83299999999999996"/>
    <n v="50"/>
    <s v="מתקיים"/>
    <x v="4"/>
    <x v="0"/>
    <s v="פילאטיס"/>
    <n v="13"/>
    <n v="108.33"/>
    <n v="12"/>
    <n v="2"/>
    <s v="Alon Towers"/>
  </r>
  <r>
    <d v="2019-01-14T00:00:00"/>
    <s v="שני"/>
    <d v="1899-12-30T19:00:00"/>
    <d v="1899-12-30T19:50:00"/>
    <n v="0.83299999999999996"/>
    <n v="50"/>
    <s v="מתקיים"/>
    <x v="8"/>
    <x v="0"/>
    <s v="HIIT פונקציונלי"/>
    <n v="15"/>
    <n v="100"/>
    <n v="11"/>
    <n v="2"/>
    <s v="Alon Towers"/>
  </r>
  <r>
    <d v="2019-01-14T00:00:00"/>
    <s v="שני"/>
    <d v="1899-12-30T17:00:00"/>
    <d v="1899-12-30T17:50:00"/>
    <n v="0.83299999999999996"/>
    <n v="50"/>
    <s v="מתקיים"/>
    <x v="8"/>
    <x v="0"/>
    <s v="יוגה"/>
    <n v="12"/>
    <n v="100"/>
    <n v="10"/>
    <n v="4"/>
    <s v="Alon Towers"/>
  </r>
  <r>
    <d v="2019-01-14T00:00:00"/>
    <s v="שני"/>
    <d v="1899-12-30T08:30:00"/>
    <d v="1899-12-30T09:20:00"/>
    <n v="0.83299999999999996"/>
    <n v="50"/>
    <s v="מתקיים"/>
    <x v="4"/>
    <x v="0"/>
    <s v="Alon Skill"/>
    <n v="13"/>
    <n v="86.67"/>
    <n v="11"/>
    <n v="0"/>
    <s v="Alon Towers"/>
  </r>
  <r>
    <d v="2019-01-14T00:00:00"/>
    <s v="שני"/>
    <d v="1899-12-30T18:00:00"/>
    <d v="1899-12-30T18:50:00"/>
    <n v="0.83299999999999996"/>
    <n v="50"/>
    <s v="מתקיים"/>
    <x v="11"/>
    <x v="0"/>
    <s v="Alon Cross"/>
    <n v="16"/>
    <n v="106.67"/>
    <n v="15"/>
    <n v="0"/>
    <s v="Alon Towers"/>
  </r>
  <r>
    <d v="2019-01-15T00:00:00"/>
    <s v="שלישי"/>
    <d v="1899-12-30T07:30:00"/>
    <d v="1899-12-30T08:20:00"/>
    <n v="0.83299999999999996"/>
    <n v="50"/>
    <s v="מתקיים"/>
    <x v="0"/>
    <x v="0"/>
    <s v="HIIT פונקציונלי"/>
    <n v="11"/>
    <n v="73.33"/>
    <n v="9"/>
    <n v="0"/>
    <s v="Alon Towers"/>
  </r>
  <r>
    <d v="2019-01-15T00:00:00"/>
    <s v="שלישי"/>
    <d v="1899-12-30T18:45:00"/>
    <d v="1899-12-30T19:35:00"/>
    <n v="0.83299999999999996"/>
    <n v="50"/>
    <s v="מתקיים"/>
    <x v="1"/>
    <x v="0"/>
    <s v="core ומתיחות"/>
    <n v="13"/>
    <n v="108.33"/>
    <n v="11"/>
    <n v="0"/>
    <s v="Alon Towers"/>
  </r>
  <r>
    <d v="2019-01-15T00:00:00"/>
    <s v="שלישי"/>
    <d v="1899-12-30T08:30:00"/>
    <d v="1899-12-30T09:20:00"/>
    <n v="0.83299999999999996"/>
    <n v="50"/>
    <s v="מתקיים"/>
    <x v="2"/>
    <x v="0"/>
    <s v="Power Yoga"/>
    <n v="12"/>
    <n v="100"/>
    <n v="8"/>
    <n v="7"/>
    <s v="Alon Towers"/>
  </r>
  <r>
    <d v="2019-01-15T00:00:00"/>
    <s v="שלישי"/>
    <d v="1899-12-30T17:45:00"/>
    <d v="1899-12-30T18:35:00"/>
    <n v="0.83299999999999996"/>
    <n v="50"/>
    <s v="מתקיים"/>
    <x v="3"/>
    <x v="0"/>
    <s v="Kickbox"/>
    <n v="15"/>
    <n v="100"/>
    <n v="11"/>
    <n v="1"/>
    <s v="Alon Towers"/>
  </r>
  <r>
    <d v="2019-01-16T00:00:00"/>
    <s v="רביעי"/>
    <d v="1899-12-30T18:30:00"/>
    <d v="1899-12-30T19:20:00"/>
    <n v="0.83299999999999996"/>
    <n v="50"/>
    <s v="מתקיים"/>
    <x v="4"/>
    <x v="0"/>
    <s v="Alon Skill"/>
    <n v="15"/>
    <n v="100"/>
    <n v="15"/>
    <n v="3"/>
    <s v="Alon Towers"/>
  </r>
  <r>
    <d v="2019-01-16T00:00:00"/>
    <s v="רביעי"/>
    <d v="1899-12-30T17:30:00"/>
    <d v="1899-12-30T18:20:00"/>
    <n v="0.83299999999999996"/>
    <n v="50"/>
    <s v="מתקיים"/>
    <x v="4"/>
    <x v="0"/>
    <s v="פילאטיס"/>
    <n v="12"/>
    <n v="100"/>
    <n v="11"/>
    <n v="1"/>
    <s v="Alon Towers"/>
  </r>
  <r>
    <d v="2019-01-16T00:00:00"/>
    <s v="רביעי"/>
    <d v="1899-12-30T08:30:00"/>
    <d v="1899-12-30T09:20:00"/>
    <n v="0.83299999999999996"/>
    <n v="50"/>
    <s v="מתקיים"/>
    <x v="1"/>
    <x v="0"/>
    <s v="HIIT TRX"/>
    <n v="8"/>
    <n v="57.14"/>
    <n v="8"/>
    <n v="0"/>
    <s v="Alon Towers"/>
  </r>
  <r>
    <d v="2019-01-16T00:00:00"/>
    <s v="רביעי"/>
    <d v="1899-12-30T07:30:00"/>
    <d v="1899-12-30T08:20:00"/>
    <n v="0.83299999999999996"/>
    <n v="50"/>
    <s v="מתקיים"/>
    <x v="1"/>
    <x v="0"/>
    <s v="core ומתיחות"/>
    <n v="4"/>
    <n v="33.33"/>
    <n v="0"/>
    <n v="0"/>
    <s v="Alon Towers"/>
  </r>
  <r>
    <d v="2019-01-17T00:00:00"/>
    <s v="חמישי"/>
    <d v="1899-12-30T17:30:00"/>
    <d v="1899-12-30T18:20:00"/>
    <n v="0.83299999999999996"/>
    <n v="50"/>
    <s v="מתקיים"/>
    <x v="2"/>
    <x v="0"/>
    <s v="Power Yoga"/>
    <n v="14"/>
    <n v="116.67"/>
    <n v="11"/>
    <n v="5"/>
    <s v="Alon Towers"/>
  </r>
  <r>
    <d v="2019-01-17T00:00:00"/>
    <s v="חמישי"/>
    <d v="1899-12-30T18:30:00"/>
    <d v="1899-12-30T19:20:00"/>
    <n v="0.83299999999999996"/>
    <n v="50"/>
    <s v="מתקיים"/>
    <x v="7"/>
    <x v="0"/>
    <s v="Alon Cross"/>
    <n v="19"/>
    <n v="126.67"/>
    <n v="16"/>
    <n v="8"/>
    <s v="Alon Towers"/>
  </r>
  <r>
    <d v="2019-01-17T00:00:00"/>
    <s v="חמישי"/>
    <d v="1899-12-30T07:30:00"/>
    <d v="1899-12-30T08:20:00"/>
    <n v="0.83299999999999996"/>
    <n v="50"/>
    <s v="מתקיים"/>
    <x v="1"/>
    <x v="0"/>
    <s v="HIIT פונקציונלי"/>
    <n v="10"/>
    <n v="66.67"/>
    <n v="10"/>
    <n v="0"/>
    <s v="Alon Towers"/>
  </r>
  <r>
    <d v="2019-01-17T00:00:00"/>
    <s v="חמישי"/>
    <d v="1899-12-30T08:30:00"/>
    <d v="1899-12-30T09:20:00"/>
    <n v="0.83299999999999996"/>
    <n v="50"/>
    <s v="מתקיים"/>
    <x v="6"/>
    <x v="0"/>
    <s v="פילאטיס"/>
    <n v="14"/>
    <n v="116.67"/>
    <n v="9"/>
    <n v="2"/>
    <s v="Alon Towers"/>
  </r>
  <r>
    <d v="2019-01-20T00:00:00"/>
    <s v="ראשון"/>
    <d v="1899-12-30T08:30:00"/>
    <d v="1899-12-30T09:20:00"/>
    <n v="0.83299999999999996"/>
    <n v="50"/>
    <s v="מתקיים"/>
    <x v="2"/>
    <x v="0"/>
    <s v="יוגה"/>
    <n v="12"/>
    <n v="100"/>
    <n v="10"/>
    <n v="3"/>
    <s v="Alon Towers"/>
  </r>
  <r>
    <d v="2019-01-20T00:00:00"/>
    <s v="ראשון"/>
    <d v="1899-12-30T19:00:00"/>
    <d v="1899-12-30T19:50:00"/>
    <n v="0.83299999999999996"/>
    <n v="50"/>
    <s v="מתקיים"/>
    <x v="7"/>
    <x v="0"/>
    <s v="Alon Cross"/>
    <n v="18"/>
    <n v="120"/>
    <n v="17"/>
    <n v="5"/>
    <s v="Alon Towers"/>
  </r>
  <r>
    <d v="2019-01-20T00:00:00"/>
    <s v="ראשון"/>
    <d v="1899-12-30T18:00:00"/>
    <d v="1899-12-30T18:50:00"/>
    <n v="0.83299999999999996"/>
    <n v="50"/>
    <s v="מתקיים"/>
    <x v="1"/>
    <x v="0"/>
    <s v="core ומתיחות"/>
    <n v="13"/>
    <n v="108.33"/>
    <n v="10"/>
    <n v="4"/>
    <s v="Alon Towers"/>
  </r>
  <r>
    <d v="2019-01-21T00:00:00"/>
    <s v="שני"/>
    <d v="1899-12-30T07:30:00"/>
    <d v="1899-12-30T08:20:00"/>
    <n v="0.83299999999999996"/>
    <n v="50"/>
    <s v="מתקיים"/>
    <x v="4"/>
    <x v="0"/>
    <s v="פילאטיס"/>
    <n v="13"/>
    <n v="108.33"/>
    <n v="12"/>
    <n v="3"/>
    <s v="Alon Towers"/>
  </r>
  <r>
    <d v="2019-01-21T00:00:00"/>
    <s v="שני"/>
    <d v="1899-12-30T18:00:00"/>
    <d v="1899-12-30T18:50:00"/>
    <n v="0.83299999999999996"/>
    <n v="50"/>
    <s v="מתקיים"/>
    <x v="8"/>
    <x v="0"/>
    <s v="HIIT פונקציונלי"/>
    <n v="15"/>
    <n v="100"/>
    <n v="12"/>
    <n v="8"/>
    <s v="Alon Towers"/>
  </r>
  <r>
    <d v="2019-01-21T00:00:00"/>
    <s v="שני"/>
    <d v="1899-12-30T17:00:00"/>
    <d v="1899-12-30T17:50:00"/>
    <n v="0.83299999999999996"/>
    <n v="50"/>
    <s v="מתקיים"/>
    <x v="2"/>
    <x v="0"/>
    <s v="יוגה"/>
    <n v="13"/>
    <n v="108.33"/>
    <n v="10"/>
    <n v="9"/>
    <s v="Alon Towers"/>
  </r>
  <r>
    <d v="2019-01-21T00:00:00"/>
    <s v="שני"/>
    <d v="1899-12-30T08:30:00"/>
    <d v="1899-12-30T09:20:00"/>
    <n v="0.83299999999999996"/>
    <n v="50"/>
    <s v="מתקיים"/>
    <x v="4"/>
    <x v="0"/>
    <s v="Alon Skill"/>
    <n v="14"/>
    <n v="93.33"/>
    <n v="14"/>
    <n v="0"/>
    <s v="Alon Towers"/>
  </r>
  <r>
    <d v="2019-01-22T00:00:00"/>
    <s v="שלישי"/>
    <d v="1899-12-30T07:30:00"/>
    <d v="1899-12-30T08:20:00"/>
    <n v="0.83299999999999996"/>
    <n v="50"/>
    <s v="מתקיים"/>
    <x v="0"/>
    <x v="0"/>
    <s v="HIIT פונקציונלי"/>
    <n v="15"/>
    <n v="100"/>
    <n v="15"/>
    <n v="0"/>
    <s v="Alon Towers"/>
  </r>
  <r>
    <d v="2019-01-22T00:00:00"/>
    <s v="שלישי"/>
    <d v="1899-12-30T18:45:00"/>
    <d v="1899-12-30T19:35:00"/>
    <n v="0.83299999999999996"/>
    <n v="50"/>
    <s v="מתקיים"/>
    <x v="1"/>
    <x v="0"/>
    <s v="core ומתיחות"/>
    <n v="13"/>
    <n v="108.33"/>
    <n v="11"/>
    <n v="4"/>
    <s v="Alon Towers"/>
  </r>
  <r>
    <d v="2019-01-22T00:00:00"/>
    <s v="שלישי"/>
    <d v="1899-12-30T08:30:00"/>
    <d v="1899-12-30T09:20:00"/>
    <n v="0.83299999999999996"/>
    <n v="50"/>
    <s v="מתקיים"/>
    <x v="2"/>
    <x v="0"/>
    <s v="Power Yoga"/>
    <n v="12"/>
    <n v="100"/>
    <n v="10"/>
    <n v="4"/>
    <s v="Alon Towers"/>
  </r>
  <r>
    <d v="2019-01-22T00:00:00"/>
    <s v="שלישי"/>
    <d v="1899-12-30T17:45:00"/>
    <d v="1899-12-30T18:35:00"/>
    <n v="0.83299999999999996"/>
    <n v="50"/>
    <s v="מתקיים"/>
    <x v="3"/>
    <x v="0"/>
    <s v="Kickbox"/>
    <n v="11"/>
    <n v="73.33"/>
    <n v="9"/>
    <n v="0"/>
    <s v="Alon Towers"/>
  </r>
  <r>
    <d v="2019-01-23T00:00:00"/>
    <s v="רביעי"/>
    <d v="1899-12-30T18:30:00"/>
    <d v="1899-12-30T19:20:00"/>
    <n v="0.83299999999999996"/>
    <n v="50"/>
    <s v="מתקיים"/>
    <x v="4"/>
    <x v="0"/>
    <s v="Alon Skill"/>
    <n v="15"/>
    <n v="100"/>
    <n v="12"/>
    <n v="3"/>
    <s v="Alon Towers"/>
  </r>
  <r>
    <d v="2019-01-23T00:00:00"/>
    <s v="רביעי"/>
    <d v="1899-12-30T17:30:00"/>
    <d v="1899-12-30T18:20:00"/>
    <n v="0.83299999999999996"/>
    <n v="50"/>
    <s v="מתקיים"/>
    <x v="4"/>
    <x v="0"/>
    <s v="פילאטיס"/>
    <n v="12"/>
    <n v="100"/>
    <n v="11"/>
    <n v="9"/>
    <s v="Alon Towers"/>
  </r>
  <r>
    <d v="2019-01-23T00:00:00"/>
    <s v="רביעי"/>
    <d v="1899-12-30T08:30:00"/>
    <d v="1899-12-30T09:20:00"/>
    <n v="0.83299999999999996"/>
    <n v="50"/>
    <s v="מתקיים"/>
    <x v="0"/>
    <x v="0"/>
    <s v="HIIT TRX"/>
    <n v="11"/>
    <n v="78.569999999999993"/>
    <n v="8"/>
    <n v="0"/>
    <s v="Alon Towers"/>
  </r>
  <r>
    <d v="2019-01-24T00:00:00"/>
    <s v="חמישי"/>
    <d v="1899-12-30T17:30:00"/>
    <d v="1899-12-30T18:20:00"/>
    <n v="0.83299999999999996"/>
    <n v="50"/>
    <s v="מתקיים"/>
    <x v="2"/>
    <x v="0"/>
    <s v="Power Yoga"/>
    <n v="12"/>
    <n v="100"/>
    <n v="8"/>
    <n v="4"/>
    <s v="Alon Towers"/>
  </r>
  <r>
    <d v="2019-01-24T00:00:00"/>
    <s v="חמישי"/>
    <d v="1899-12-30T18:30:00"/>
    <d v="1899-12-30T19:20:00"/>
    <n v="0.83299999999999996"/>
    <n v="50"/>
    <s v="מתקיים"/>
    <x v="7"/>
    <x v="0"/>
    <s v="Alon Cross"/>
    <n v="18"/>
    <n v="120"/>
    <n v="13"/>
    <n v="9"/>
    <s v="Alon Towers"/>
  </r>
  <r>
    <d v="2019-01-24T00:00:00"/>
    <s v="חמישי"/>
    <d v="1899-12-30T07:30:00"/>
    <d v="1899-12-30T08:20:00"/>
    <n v="0.83299999999999996"/>
    <n v="50"/>
    <s v="מתקיים"/>
    <x v="1"/>
    <x v="0"/>
    <s v="HIIT פונקציונלי"/>
    <n v="14"/>
    <n v="93.33"/>
    <n v="13"/>
    <n v="0"/>
    <s v="Alon Towers"/>
  </r>
  <r>
    <d v="2019-01-24T00:00:00"/>
    <s v="חמישי"/>
    <d v="1899-12-30T08:30:00"/>
    <d v="1899-12-30T09:20:00"/>
    <n v="0.83299999999999996"/>
    <n v="50"/>
    <s v="מתקיים"/>
    <x v="6"/>
    <x v="0"/>
    <s v="פילאטיס"/>
    <n v="11"/>
    <n v="91.67"/>
    <n v="10"/>
    <n v="0"/>
    <s v="Alon Towers"/>
  </r>
  <r>
    <d v="2019-01-27T00:00:00"/>
    <s v="ראשון"/>
    <d v="1899-12-30T08:30:00"/>
    <d v="1899-12-30T09:20:00"/>
    <n v="0.83299999999999996"/>
    <n v="50"/>
    <s v="מתקיים"/>
    <x v="2"/>
    <x v="0"/>
    <s v="יוגה"/>
    <n v="12"/>
    <n v="100"/>
    <n v="10"/>
    <n v="10"/>
    <s v="Alon Towers"/>
  </r>
  <r>
    <d v="2019-01-27T00:00:00"/>
    <s v="ראשון"/>
    <d v="1899-12-30T19:00:00"/>
    <d v="1899-12-30T19:50:00"/>
    <n v="0.83299999999999996"/>
    <n v="50"/>
    <s v="מתקיים"/>
    <x v="0"/>
    <x v="0"/>
    <s v="HIIT פונקציונלי"/>
    <n v="16"/>
    <n v="106.67"/>
    <n v="11"/>
    <n v="10"/>
    <s v="Alon Towers"/>
  </r>
  <r>
    <d v="2019-01-27T00:00:00"/>
    <s v="ראשון"/>
    <d v="1899-12-30T18:00:00"/>
    <d v="1899-12-30T18:50:00"/>
    <n v="0.83299999999999996"/>
    <n v="50"/>
    <s v="מתקיים"/>
    <x v="1"/>
    <x v="0"/>
    <s v="core ומתיחות"/>
    <n v="12"/>
    <n v="100"/>
    <n v="8"/>
    <n v="0"/>
    <s v="Alon Towers"/>
  </r>
  <r>
    <d v="2019-01-27T00:00:00"/>
    <s v="ראשון"/>
    <d v="1899-12-30T17:00:00"/>
    <d v="1899-12-30T17:50:00"/>
    <n v="0.83299999999999996"/>
    <n v="50"/>
    <s v="מתקיים"/>
    <x v="0"/>
    <x v="0"/>
    <s v="HIIT TRX"/>
    <n v="15"/>
    <n v="107.14"/>
    <n v="9"/>
    <n v="1"/>
    <s v="Alon Towers"/>
  </r>
  <r>
    <d v="2019-01-28T00:00:00"/>
    <s v="שני"/>
    <d v="1899-12-30T07:30:00"/>
    <d v="1899-12-30T08:20:00"/>
    <n v="0.83299999999999996"/>
    <n v="50"/>
    <s v="מתקיים"/>
    <x v="4"/>
    <x v="0"/>
    <s v="פילאטיס"/>
    <n v="14"/>
    <n v="116.67"/>
    <n v="13"/>
    <n v="3"/>
    <s v="Alon Towers"/>
  </r>
  <r>
    <d v="2019-01-28T00:00:00"/>
    <s v="שני"/>
    <d v="1899-12-30T18:10:00"/>
    <d v="1899-12-30T19:00:00"/>
    <n v="0.83299999999999996"/>
    <n v="50"/>
    <s v="מתקיים"/>
    <x v="8"/>
    <x v="0"/>
    <s v="HIIT פונקציונלי"/>
    <n v="15"/>
    <n v="100"/>
    <n v="11"/>
    <n v="4"/>
    <s v="Alon Towers"/>
  </r>
  <r>
    <d v="2019-01-28T00:00:00"/>
    <s v="שני"/>
    <d v="1899-12-30T17:00:00"/>
    <d v="1899-12-30T17:50:00"/>
    <n v="0.83299999999999996"/>
    <n v="50"/>
    <s v="מתקיים"/>
    <x v="2"/>
    <x v="0"/>
    <s v="יוגה"/>
    <n v="12"/>
    <n v="100"/>
    <n v="12"/>
    <n v="5"/>
    <s v="Alon Towers"/>
  </r>
  <r>
    <d v="2019-01-28T00:00:00"/>
    <s v="שני"/>
    <d v="1899-12-30T08:30:00"/>
    <d v="1899-12-30T09:20:00"/>
    <n v="0.83299999999999996"/>
    <n v="50"/>
    <s v="מתקיים"/>
    <x v="4"/>
    <x v="0"/>
    <s v="Alon Skill"/>
    <n v="15"/>
    <n v="100"/>
    <n v="12"/>
    <n v="0"/>
    <s v="Alon Towers"/>
  </r>
  <r>
    <d v="2019-01-29T00:00:00"/>
    <s v="שלישי"/>
    <d v="1899-12-30T07:30:00"/>
    <d v="1899-12-30T08:20:00"/>
    <n v="0.83299999999999996"/>
    <n v="50"/>
    <s v="מתקיים"/>
    <x v="0"/>
    <x v="0"/>
    <s v="HIIT פונקציונלי"/>
    <n v="12"/>
    <n v="80"/>
    <n v="11"/>
    <n v="0"/>
    <s v="Alon Towers"/>
  </r>
  <r>
    <d v="2019-01-29T00:00:00"/>
    <s v="שלישי"/>
    <d v="1899-12-30T18:45:00"/>
    <d v="1899-12-30T19:35:00"/>
    <n v="0.83299999999999996"/>
    <n v="50"/>
    <s v="מתקיים"/>
    <x v="1"/>
    <x v="0"/>
    <s v="core ומתיחות"/>
    <n v="13"/>
    <n v="108.33"/>
    <n v="11"/>
    <n v="5"/>
    <s v="Alon Towers"/>
  </r>
  <r>
    <d v="2019-01-29T00:00:00"/>
    <s v="שלישי"/>
    <d v="1899-12-30T08:30:00"/>
    <d v="1899-12-30T09:20:00"/>
    <n v="0.83299999999999996"/>
    <n v="50"/>
    <s v="מתקיים"/>
    <x v="2"/>
    <x v="0"/>
    <s v="Power Yoga"/>
    <n v="12"/>
    <n v="100"/>
    <n v="9"/>
    <n v="0"/>
    <s v="Alon Towers"/>
  </r>
  <r>
    <d v="2019-01-29T00:00:00"/>
    <s v="שלישי"/>
    <d v="1899-12-30T17:45:00"/>
    <d v="1899-12-30T18:35:00"/>
    <n v="0.83299999999999996"/>
    <n v="50"/>
    <s v="מתקיים"/>
    <x v="3"/>
    <x v="0"/>
    <s v="Kickbox"/>
    <n v="15"/>
    <n v="100"/>
    <n v="14"/>
    <n v="1"/>
    <s v="Alon Towers"/>
  </r>
  <r>
    <d v="2019-01-30T00:00:00"/>
    <s v="רביעי"/>
    <d v="1899-12-30T18:30:00"/>
    <d v="1899-12-30T19:20:00"/>
    <n v="0.83299999999999996"/>
    <n v="50"/>
    <s v="מתקיים"/>
    <x v="4"/>
    <x v="0"/>
    <s v="Alon Skill"/>
    <n v="16"/>
    <n v="106.67"/>
    <n v="15"/>
    <n v="7"/>
    <s v="Alon Towers"/>
  </r>
  <r>
    <d v="2019-01-30T00:00:00"/>
    <s v="רביעי"/>
    <d v="1899-12-30T17:30:00"/>
    <d v="1899-12-30T18:20:00"/>
    <n v="0.83299999999999996"/>
    <n v="50"/>
    <s v="מתקיים"/>
    <x v="4"/>
    <x v="0"/>
    <s v="פילאטיס"/>
    <n v="14"/>
    <n v="116.67"/>
    <n v="13"/>
    <n v="8"/>
    <s v="Alon Towers"/>
  </r>
  <r>
    <d v="2019-01-30T00:00:00"/>
    <s v="רביעי"/>
    <d v="1899-12-30T08:30:00"/>
    <d v="1899-12-30T09:20:00"/>
    <n v="0.83299999999999996"/>
    <n v="50"/>
    <s v="מתקיים"/>
    <x v="10"/>
    <x v="0"/>
    <s v="HIIT TRX"/>
    <n v="11"/>
    <n v="78.569999999999993"/>
    <n v="9"/>
    <n v="0"/>
    <s v="Alon Towers"/>
  </r>
  <r>
    <d v="2019-01-30T00:00:00"/>
    <s v="רביעי"/>
    <d v="1899-12-30T07:30:00"/>
    <d v="1899-12-30T08:20:00"/>
    <n v="0.83299999999999996"/>
    <n v="50"/>
    <s v="מתקיים"/>
    <x v="2"/>
    <x v="0"/>
    <s v="יוגה"/>
    <n v="9"/>
    <n v="75"/>
    <n v="9"/>
    <n v="0"/>
    <s v="Alon Towers"/>
  </r>
  <r>
    <d v="2019-01-31T00:00:00"/>
    <s v="חמישי"/>
    <d v="1899-12-30T17:30:00"/>
    <d v="1899-12-30T18:20:00"/>
    <n v="0.83299999999999996"/>
    <n v="50"/>
    <s v="מתקיים"/>
    <x v="2"/>
    <x v="0"/>
    <s v="Power Yoga"/>
    <n v="12"/>
    <n v="100"/>
    <n v="11"/>
    <n v="10"/>
    <s v="Alon Towers"/>
  </r>
  <r>
    <d v="2019-01-31T00:00:00"/>
    <s v="חמישי"/>
    <d v="1899-12-30T18:30:00"/>
    <d v="1899-12-30T19:20:00"/>
    <n v="0.83299999999999996"/>
    <n v="50"/>
    <s v="מתקיים"/>
    <x v="7"/>
    <x v="0"/>
    <s v="Alon Cross"/>
    <n v="17"/>
    <n v="113.33"/>
    <n v="15"/>
    <n v="16"/>
    <s v="Alon Towers"/>
  </r>
  <r>
    <d v="2019-01-31T00:00:00"/>
    <s v="חמישי"/>
    <d v="1899-12-30T07:30:00"/>
    <d v="1899-12-30T08:20:00"/>
    <n v="0.83299999999999996"/>
    <n v="50"/>
    <s v="מתקיים"/>
    <x v="1"/>
    <x v="0"/>
    <s v="HIIT פונקציונלי"/>
    <n v="11"/>
    <n v="73.33"/>
    <n v="10"/>
    <n v="0"/>
    <s v="Alon Towers"/>
  </r>
  <r>
    <d v="2019-01-31T00:00:00"/>
    <s v="חמישי"/>
    <d v="1899-12-30T08:30:00"/>
    <d v="1899-12-30T09:20:00"/>
    <n v="0.83299999999999996"/>
    <n v="50"/>
    <s v="מתקיים"/>
    <x v="6"/>
    <x v="0"/>
    <s v="פילאטיס"/>
    <n v="11"/>
    <n v="91.67"/>
    <n v="10"/>
    <n v="1"/>
    <s v="Alon Towers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700-000000000000}" name="PivotTable1" cacheId="85" applyNumberFormats="0" applyBorderFormats="0" applyFontFormats="0" applyPatternFormats="0" applyAlignmentFormats="0" applyWidthHeightFormats="1" dataCaption="ערכים" updatedVersion="6" minRefreshableVersion="3" useAutoFormatting="1" itemPrintTitles="1" createdVersion="6" indent="0" outline="1" outlineData="1" multipleFieldFilters="0">
  <location ref="A3:B16" firstHeaderRow="1" firstDataRow="1" firstDataCol="1"/>
  <pivotFields count="15">
    <pivotField dataField="1" numFmtId="14" showAll="0"/>
    <pivotField showAll="0"/>
    <pivotField numFmtId="21" showAll="0"/>
    <pivotField numFmtId="21" showAll="0"/>
    <pivotField showAll="0"/>
    <pivotField showAll="0"/>
    <pivotField showAll="0"/>
    <pivotField axis="axisRow" showAll="0">
      <items count="13">
        <item x="0"/>
        <item x="7"/>
        <item x="9"/>
        <item x="1"/>
        <item x="3"/>
        <item x="5"/>
        <item x="2"/>
        <item x="8"/>
        <item x="6"/>
        <item x="4"/>
        <item x="10"/>
        <item x="11"/>
        <item t="default"/>
      </items>
    </pivotField>
    <pivotField showAll="0">
      <items count="2">
        <item x="0"/>
        <item t="default"/>
      </items>
    </pivotField>
    <pivotField showAll="0"/>
    <pivotField showAll="0"/>
    <pivotField showAll="0"/>
    <pivotField showAll="0"/>
    <pivotField showAll="0"/>
    <pivotField showAll="0"/>
  </pivotFields>
  <rowFields count="1">
    <field x="7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ספירה של תאריך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A00-000001000000}" name="PivotTable1" cacheId="84" applyNumberFormats="0" applyBorderFormats="0" applyFontFormats="0" applyPatternFormats="0" applyAlignmentFormats="0" applyWidthHeightFormats="1" dataCaption="ערכים" updatedVersion="6" minRefreshableVersion="3" useAutoFormatting="1" itemPrintTitles="1" createdVersion="6" indent="0" outline="1" outlineData="1" multipleFieldFilters="0">
  <location ref="P4:S16" firstHeaderRow="1" firstDataRow="2" firstDataCol="1"/>
  <pivotFields count="14">
    <pivotField dataField="1" numFmtId="14" showAll="0"/>
    <pivotField showAll="0"/>
    <pivotField numFmtId="21" showAll="0"/>
    <pivotField numFmtId="21" showAll="0"/>
    <pivotField showAll="0"/>
    <pivotField showAll="0"/>
    <pivotField axis="axisCol" showAll="0">
      <items count="3">
        <item x="1"/>
        <item x="0"/>
        <item t="default"/>
      </items>
    </pivotField>
    <pivotField axis="axisRow" showAll="0">
      <items count="11">
        <item x="1"/>
        <item x="7"/>
        <item x="3"/>
        <item x="6"/>
        <item x="0"/>
        <item x="8"/>
        <item x="5"/>
        <item x="9"/>
        <item x="2"/>
        <item x="4"/>
        <item t="default"/>
      </items>
    </pivotField>
    <pivotField showAll="0"/>
    <pivotField showAll="0"/>
    <pivotField showAll="0"/>
    <pivotField showAll="0"/>
    <pivotField showAll="0"/>
    <pivotField showAll="0"/>
  </pivotFields>
  <rowFields count="1">
    <field x="7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Fields count="1">
    <field x="6"/>
  </colFields>
  <colItems count="3">
    <i>
      <x/>
    </i>
    <i>
      <x v="1"/>
    </i>
    <i t="grand">
      <x/>
    </i>
  </colItems>
  <dataFields count="1">
    <dataField name="ספירה של תאריך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7.bin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47"/>
  <sheetViews>
    <sheetView rightToLeft="1" zoomScaleNormal="100" workbookViewId="0">
      <selection activeCell="F6" sqref="F6"/>
    </sheetView>
  </sheetViews>
  <sheetFormatPr baseColWidth="10" defaultColWidth="8.83203125" defaultRowHeight="15"/>
  <cols>
    <col min="1" max="1" width="17.6640625" bestFit="1" customWidth="1"/>
    <col min="2" max="2" width="9.1640625" bestFit="1" customWidth="1"/>
    <col min="3" max="3" width="19.6640625" bestFit="1" customWidth="1"/>
    <col min="4" max="4" width="18.1640625" bestFit="1" customWidth="1"/>
    <col min="5" max="5" width="33.1640625" bestFit="1" customWidth="1"/>
    <col min="6" max="6" width="17.6640625" bestFit="1" customWidth="1"/>
    <col min="7" max="7" width="16.6640625" customWidth="1"/>
    <col min="13" max="13" width="9" customWidth="1"/>
    <col min="14" max="14" width="16.1640625" customWidth="1"/>
    <col min="15" max="17" width="9" customWidth="1"/>
    <col min="18" max="18" width="15.6640625" customWidth="1"/>
    <col min="19" max="19" width="9" customWidth="1"/>
  </cols>
  <sheetData>
    <row r="1" spans="1:17" ht="28">
      <c r="A1" s="1"/>
      <c r="B1" s="2"/>
      <c r="C1" s="2"/>
      <c r="D1" s="1"/>
      <c r="E1" s="34" t="s">
        <v>0</v>
      </c>
      <c r="F1" s="3"/>
      <c r="G1" s="3"/>
      <c r="H1" s="4"/>
      <c r="I1" s="1"/>
      <c r="J1" s="5"/>
    </row>
    <row r="2" spans="1:17" ht="21">
      <c r="B2" s="6"/>
      <c r="C2" s="6"/>
      <c r="D2" s="7"/>
      <c r="E2" s="95" t="s">
        <v>167</v>
      </c>
      <c r="G2" s="6"/>
      <c r="H2" s="8"/>
      <c r="I2" s="9"/>
      <c r="J2" s="10"/>
    </row>
    <row r="3" spans="1:17" ht="21">
      <c r="A3" s="11" t="s">
        <v>1</v>
      </c>
      <c r="B3" s="81">
        <v>0.91666666666666663</v>
      </c>
      <c r="C3" s="81">
        <v>0.29166666666666669</v>
      </c>
      <c r="D3" s="7"/>
      <c r="E3" s="6"/>
      <c r="H3" s="12"/>
      <c r="I3" s="13"/>
      <c r="J3" s="10"/>
    </row>
    <row r="4" spans="1:17" ht="19" thickBot="1">
      <c r="A4" s="14"/>
      <c r="B4" s="6"/>
      <c r="C4" s="6"/>
      <c r="D4" s="7"/>
      <c r="E4" s="6"/>
      <c r="G4" s="6"/>
      <c r="H4" s="15"/>
      <c r="I4" s="16"/>
      <c r="J4" s="10"/>
    </row>
    <row r="5" spans="1:17" ht="19" thickBot="1">
      <c r="A5" s="17"/>
      <c r="B5" s="6"/>
      <c r="C5" s="6"/>
      <c r="D5" s="33" t="s">
        <v>12</v>
      </c>
      <c r="E5" s="89" t="s">
        <v>326</v>
      </c>
      <c r="F5" s="90">
        <v>46204</v>
      </c>
      <c r="H5" s="8"/>
      <c r="I5" s="6"/>
      <c r="J5" s="10"/>
    </row>
    <row r="6" spans="1:17">
      <c r="A6" s="18"/>
      <c r="B6" s="19"/>
      <c r="C6" s="19"/>
      <c r="D6" s="20"/>
      <c r="E6" s="19"/>
      <c r="F6" s="19"/>
      <c r="G6" s="19"/>
      <c r="H6" s="18"/>
      <c r="I6" s="19"/>
      <c r="J6" s="21"/>
    </row>
    <row r="7" spans="1:17">
      <c r="A7" s="35" t="s">
        <v>2</v>
      </c>
      <c r="B7" s="35" t="s">
        <v>3</v>
      </c>
      <c r="C7" s="35" t="s">
        <v>139</v>
      </c>
      <c r="D7" s="362" t="s">
        <v>187</v>
      </c>
      <c r="E7" s="362" t="s">
        <v>4</v>
      </c>
      <c r="F7" s="362" t="s">
        <v>175</v>
      </c>
      <c r="G7" s="36" t="s">
        <v>5</v>
      </c>
      <c r="H7" s="35"/>
      <c r="I7" s="22"/>
    </row>
    <row r="8" spans="1:17">
      <c r="A8" s="37" t="s">
        <v>6</v>
      </c>
      <c r="B8" s="37" t="s">
        <v>7</v>
      </c>
      <c r="C8" s="37" t="s">
        <v>140</v>
      </c>
      <c r="D8" s="363"/>
      <c r="E8" s="363"/>
      <c r="F8" s="363"/>
      <c r="G8" s="38" t="s">
        <v>8</v>
      </c>
      <c r="H8" s="37" t="s">
        <v>9</v>
      </c>
      <c r="I8" s="22"/>
    </row>
    <row r="9" spans="1:17" ht="15" customHeight="1">
      <c r="A9" s="23">
        <v>46143</v>
      </c>
      <c r="B9" s="24" t="str">
        <f>TEXT(A9,"dddd")</f>
        <v>Friday</v>
      </c>
      <c r="C9" s="24" t="e">
        <f>VLOOKUP(A9,חגים!A2:B794,2,FALSE)</f>
        <v>#N/A</v>
      </c>
      <c r="D9" s="24" t="str">
        <f>IF(OR(B9=$N$26),$N$18,IF(OR(B9=$N$27),$N$19,IF(OR(B9=$N$21,B9=$N$22,B9=$N$23,B9=$N$24,B9=$N$25),$N$17,"ERR")))</f>
        <v>ERR</v>
      </c>
      <c r="E9" s="24" t="str">
        <f t="shared" ref="E9:E39" si="0">IF(OR(B9=$N$26),$O$18,IF(OR(B9=$N$27),$O$19,IF(OR(B9=$N$21,B9=$N$22,B9=$N$23,B9=$N$24,B9=$N$25),$O$17,"ERR")))</f>
        <v>ERR</v>
      </c>
      <c r="F9" s="24" t="str">
        <f>IF(OR(B9=$N$26,B9=$N$27),"CLOSED",IF(OR(B9=$N$21,B9=$N$22,B9=$N$23,B9=$N$24,B9=$N$25),$P$17,"ERR"))</f>
        <v>ERR</v>
      </c>
      <c r="G9" s="25" t="str">
        <f>IF(OR(B9=$N$26),$O$26,IF(OR(B9=$N$27),$O$27,IF(OR(B9=$N$21,B9=$N$22,B9=$N$23,B9=$N$24,B9=$N$25),$O$21,"ERR")))</f>
        <v>ERR</v>
      </c>
      <c r="H9" s="39"/>
      <c r="I9" s="21"/>
    </row>
    <row r="10" spans="1:17" ht="15" customHeight="1">
      <c r="A10" s="23">
        <v>46144</v>
      </c>
      <c r="B10" s="24" t="str">
        <f t="shared" ref="B10:B39" si="1">TEXT(A10,"dddd")</f>
        <v>Saturday</v>
      </c>
      <c r="C10" s="24" t="e">
        <f>VLOOKUP(A10,[1]חגים!$A$2:$C$794,2,FALSE)</f>
        <v>#N/A</v>
      </c>
      <c r="D10" s="24" t="str">
        <f>IF(OR(B10=$N$26),$N$18,IF(OR(B10=$N$27),$N$19,IF(OR(B10=$N$21,B10=$N$22,B10=$N$23,B10=$N$24,B10=$N$25),$N$17,"ERR")))</f>
        <v>ERR</v>
      </c>
      <c r="E10" s="24" t="str">
        <f t="shared" si="0"/>
        <v>ERR</v>
      </c>
      <c r="F10" s="24" t="str">
        <f>IF(OR(B10=$N$26,B10=$N$27),"CLOSED",IF(OR(B10=$N$21,B10=$N$22,B10=$N$23,B10=$N$24,B10=$N$25),$P$17,"ERR"))</f>
        <v>ERR</v>
      </c>
      <c r="G10" s="25" t="str">
        <f t="shared" ref="G10:G39" si="2">IF(OR(B10=$N$26),$O$26,IF(OR(B10=$N$27),$O$27,IF(OR(B10=$N$21,B10=$N$22,B10=$N$23,B10=$N$24,B10=$N$25),$O$21,"ERR")))</f>
        <v>ERR</v>
      </c>
      <c r="H10" s="39"/>
      <c r="I10" s="21"/>
    </row>
    <row r="11" spans="1:17" ht="15" customHeight="1">
      <c r="A11" s="23">
        <v>46145</v>
      </c>
      <c r="B11" s="24" t="str">
        <f t="shared" si="1"/>
        <v>Sunday</v>
      </c>
      <c r="C11" s="24" t="e">
        <f>VLOOKUP(A11,[1]חגים!$A$2:$C$794,2,FALSE)</f>
        <v>#N/A</v>
      </c>
      <c r="D11" s="24" t="str">
        <f>IF(OR(B11=$N$26),$N$18,IF(OR(B11=$N$27),$N$19,IF(OR(B11=$N$21,B11=$N$22,B11=$N$23,B11=$N$24,B11=$N$25),$N$17,"ERR")))</f>
        <v>ERR</v>
      </c>
      <c r="E11" s="24" t="str">
        <f>IF(OR(B11=$N$26),$O$18,IF(OR(B11=$N$27),$O$19,IF(OR(B11=$N$21,B11=$N$22,B11=$N$23,B11=$N$24,B11=$N$25),$O$17,"ERR")))</f>
        <v>ERR</v>
      </c>
      <c r="F11" s="24" t="str">
        <f>IF(OR(B11=$N$26,B11=$N$27),"CLOSED",IF(OR(B11=$N$21,B11=$N$22,B11=$N$23,B11=$N$24,B11=$N$25),$P$17,"ERR"))</f>
        <v>ERR</v>
      </c>
      <c r="G11" s="25" t="str">
        <f t="shared" si="2"/>
        <v>ERR</v>
      </c>
      <c r="H11" s="39"/>
      <c r="I11" s="21"/>
    </row>
    <row r="12" spans="1:17" ht="15" customHeight="1">
      <c r="A12" s="23">
        <v>46146</v>
      </c>
      <c r="B12" s="99" t="str">
        <f t="shared" si="1"/>
        <v>Monday</v>
      </c>
      <c r="C12" s="99" t="e">
        <f>VLOOKUP(A12,[1]חגים!$A$2:$C$794,2,FALSE)</f>
        <v>#N/A</v>
      </c>
      <c r="D12" s="99" t="str">
        <f>IF(OR(B12=$N$26),$N$18,IF(OR(B12=$N$27),$N$19,IF(OR(B12=$N$21,B12=$N$22,B12=$N$23,B12=$N$24,B12=$N$25),$N$17,"ERR")))</f>
        <v>ERR</v>
      </c>
      <c r="E12" s="24" t="str">
        <f t="shared" si="0"/>
        <v>ERR</v>
      </c>
      <c r="F12" s="24" t="str">
        <f t="shared" ref="F12:F39" si="3">IF(OR(B12=$N$26,B12=$N$27),"CLOSED",IF(OR(B12=$N$21,B12=$N$22,B12=$N$23,B12=$N$24,B12=$N$25),$P$17,"ERR"))</f>
        <v>ERR</v>
      </c>
      <c r="G12" s="25" t="str">
        <f t="shared" si="2"/>
        <v>ERR</v>
      </c>
      <c r="H12" s="39"/>
      <c r="I12" s="21"/>
    </row>
    <row r="13" spans="1:17" ht="15" customHeight="1">
      <c r="A13" s="23">
        <v>46147</v>
      </c>
      <c r="B13" s="99" t="str">
        <f t="shared" si="1"/>
        <v>Tuesday</v>
      </c>
      <c r="C13" s="99" t="e">
        <f>VLOOKUP(A13,[1]חגים!$A$2:$C$794,2,FALSE)</f>
        <v>#N/A</v>
      </c>
      <c r="D13" s="99" t="str">
        <f t="shared" ref="D13:D39" si="4">IF(OR(B13=$N$26),$N$18,IF(OR(B13=$N$27),$N$19,IF(OR(B13=$N$21,B13=$N$22,B13=$N$23,B13=$N$24,B13=$N$25),$N$17,"ERR")))</f>
        <v>ERR</v>
      </c>
      <c r="E13" s="24" t="str">
        <f t="shared" si="0"/>
        <v>ERR</v>
      </c>
      <c r="F13" s="24" t="str">
        <f t="shared" si="3"/>
        <v>ERR</v>
      </c>
      <c r="G13" s="25" t="str">
        <f t="shared" si="2"/>
        <v>ERR</v>
      </c>
      <c r="H13" s="101"/>
      <c r="I13" s="21"/>
    </row>
    <row r="14" spans="1:17" ht="15" customHeight="1">
      <c r="A14" s="23">
        <v>46148</v>
      </c>
      <c r="B14" s="99" t="str">
        <f t="shared" si="1"/>
        <v>Wednesday</v>
      </c>
      <c r="C14" s="99" t="e">
        <f>VLOOKUP(A14,[1]חגים!$A$2:$C$794,2,FALSE)</f>
        <v>#N/A</v>
      </c>
      <c r="D14" s="99" t="str">
        <f t="shared" si="4"/>
        <v>ERR</v>
      </c>
      <c r="E14" s="24" t="str">
        <f t="shared" si="0"/>
        <v>ERR</v>
      </c>
      <c r="F14" s="24" t="str">
        <f t="shared" si="3"/>
        <v>ERR</v>
      </c>
      <c r="G14" s="25" t="str">
        <f t="shared" si="2"/>
        <v>ERR</v>
      </c>
      <c r="H14" s="101"/>
      <c r="I14" s="21"/>
    </row>
    <row r="15" spans="1:17" ht="15" customHeight="1">
      <c r="A15" s="23">
        <v>46149</v>
      </c>
      <c r="B15" s="99" t="str">
        <f t="shared" si="1"/>
        <v>Thursday</v>
      </c>
      <c r="C15" s="99" t="e">
        <f>VLOOKUP(A15,[1]חגים!$A$2:$C$794,2,FALSE)</f>
        <v>#N/A</v>
      </c>
      <c r="D15" s="99" t="str">
        <f t="shared" si="4"/>
        <v>ERR</v>
      </c>
      <c r="E15" s="24" t="str">
        <f t="shared" si="0"/>
        <v>ERR</v>
      </c>
      <c r="F15" s="24" t="str">
        <f t="shared" si="3"/>
        <v>ERR</v>
      </c>
      <c r="G15" s="25" t="str">
        <f t="shared" si="2"/>
        <v>ERR</v>
      </c>
      <c r="H15" s="101"/>
      <c r="I15" s="21"/>
    </row>
    <row r="16" spans="1:17" ht="15" customHeight="1">
      <c r="A16" s="23">
        <v>46150</v>
      </c>
      <c r="B16" s="99" t="str">
        <f t="shared" si="1"/>
        <v>Friday</v>
      </c>
      <c r="C16" s="99" t="e">
        <f>VLOOKUP(A16,[1]חגים!$A$2:$C$794,2,FALSE)</f>
        <v>#N/A</v>
      </c>
      <c r="D16" s="99" t="str">
        <f t="shared" si="4"/>
        <v>ERR</v>
      </c>
      <c r="E16" s="24" t="str">
        <f t="shared" si="0"/>
        <v>ERR</v>
      </c>
      <c r="F16" s="24" t="str">
        <f t="shared" si="3"/>
        <v>ERR</v>
      </c>
      <c r="G16" s="25" t="str">
        <f t="shared" si="2"/>
        <v>ERR</v>
      </c>
      <c r="H16" s="101"/>
      <c r="I16" s="21"/>
      <c r="M16" s="96"/>
      <c r="N16" s="96" t="s">
        <v>186</v>
      </c>
      <c r="O16" s="96" t="s">
        <v>291</v>
      </c>
      <c r="P16" s="96" t="s">
        <v>292</v>
      </c>
      <c r="Q16" s="96"/>
    </row>
    <row r="17" spans="1:20" ht="15" customHeight="1">
      <c r="A17" s="23">
        <v>46151</v>
      </c>
      <c r="B17" s="99" t="str">
        <f t="shared" si="1"/>
        <v>Saturday</v>
      </c>
      <c r="C17" s="99" t="e">
        <f>VLOOKUP(A17,[1]חגים!$A$2:$C$794,2,FALSE)</f>
        <v>#N/A</v>
      </c>
      <c r="D17" s="99" t="str">
        <f t="shared" si="4"/>
        <v>ERR</v>
      </c>
      <c r="E17" s="24" t="str">
        <f t="shared" si="0"/>
        <v>ERR</v>
      </c>
      <c r="F17" s="24" t="str">
        <f t="shared" si="3"/>
        <v>ERR</v>
      </c>
      <c r="G17" s="25" t="str">
        <f t="shared" si="2"/>
        <v>ERR</v>
      </c>
      <c r="H17" s="101"/>
      <c r="I17" s="21"/>
      <c r="L17" t="s">
        <v>170</v>
      </c>
      <c r="N17" s="98" t="s">
        <v>307</v>
      </c>
      <c r="O17" s="98" t="s">
        <v>308</v>
      </c>
      <c r="P17" s="98" t="s">
        <v>306</v>
      </c>
    </row>
    <row r="18" spans="1:20" ht="15" customHeight="1">
      <c r="A18" s="23">
        <v>46152</v>
      </c>
      <c r="B18" s="99" t="str">
        <f t="shared" si="1"/>
        <v>Sunday</v>
      </c>
      <c r="C18" s="99" t="e">
        <f>VLOOKUP(A18,[1]חגים!$A$2:$C$794,2,FALSE)</f>
        <v>#N/A</v>
      </c>
      <c r="D18" s="99" t="str">
        <f t="shared" si="4"/>
        <v>ERR</v>
      </c>
      <c r="E18" s="24" t="str">
        <f t="shared" si="0"/>
        <v>ERR</v>
      </c>
      <c r="F18" s="24" t="str">
        <f>IF(OR(B18=$N$26,B18=$N$27),"CLOSED",IF(OR(B18=$N$21,B18=$N$22,B18=$N$23,B18=$N$24,B18=$N$25),$P$17,"ERR"))</f>
        <v>ERR</v>
      </c>
      <c r="G18" s="25" t="str">
        <f t="shared" si="2"/>
        <v>ERR</v>
      </c>
      <c r="H18" s="102"/>
      <c r="I18" s="21"/>
      <c r="L18" t="s">
        <v>168</v>
      </c>
      <c r="N18" s="98" t="s">
        <v>304</v>
      </c>
      <c r="O18" s="98"/>
    </row>
    <row r="19" spans="1:20" ht="15" customHeight="1">
      <c r="A19" s="23">
        <v>46153</v>
      </c>
      <c r="B19" s="99" t="str">
        <f t="shared" si="1"/>
        <v>Monday</v>
      </c>
      <c r="C19" s="99" t="e">
        <f>VLOOKUP(A19,[1]חגים!$A$2:$C$794,2,FALSE)</f>
        <v>#N/A</v>
      </c>
      <c r="D19" s="99" t="str">
        <f t="shared" si="4"/>
        <v>ERR</v>
      </c>
      <c r="E19" s="24" t="str">
        <f t="shared" si="0"/>
        <v>ERR</v>
      </c>
      <c r="F19" s="24" t="str">
        <f t="shared" si="3"/>
        <v>ERR</v>
      </c>
      <c r="G19" s="25" t="str">
        <f t="shared" si="2"/>
        <v>ERR</v>
      </c>
      <c r="H19" s="101"/>
      <c r="I19" s="21"/>
      <c r="L19" t="s">
        <v>166</v>
      </c>
      <c r="N19" s="98"/>
      <c r="O19" s="98" t="s">
        <v>305</v>
      </c>
    </row>
    <row r="20" spans="1:20" ht="15" customHeight="1">
      <c r="A20" s="23">
        <v>46154</v>
      </c>
      <c r="B20" s="99" t="str">
        <f t="shared" si="1"/>
        <v>Tuesday</v>
      </c>
      <c r="C20" s="99" t="e">
        <f>VLOOKUP(A20,[1]חגים!$A$2:$C$794,2,FALSE)</f>
        <v>#N/A</v>
      </c>
      <c r="D20" s="99" t="str">
        <f t="shared" si="4"/>
        <v>ERR</v>
      </c>
      <c r="E20" s="24" t="str">
        <f t="shared" si="0"/>
        <v>ERR</v>
      </c>
      <c r="F20" s="24" t="str">
        <f t="shared" si="3"/>
        <v>ERR</v>
      </c>
      <c r="G20" s="25" t="str">
        <f t="shared" si="2"/>
        <v>ERR</v>
      </c>
      <c r="H20" s="101"/>
      <c r="I20" s="21"/>
    </row>
    <row r="21" spans="1:20" ht="15" customHeight="1">
      <c r="A21" s="23">
        <v>46155</v>
      </c>
      <c r="B21" s="99" t="str">
        <f t="shared" si="1"/>
        <v>Wednesday</v>
      </c>
      <c r="C21" s="99" t="e">
        <f>VLOOKUP(A21,[1]חגים!$A$2:$C$794,2,FALSE)</f>
        <v>#N/A</v>
      </c>
      <c r="D21" s="99" t="str">
        <f t="shared" si="4"/>
        <v>ERR</v>
      </c>
      <c r="E21" s="24" t="str">
        <f t="shared" si="0"/>
        <v>ERR</v>
      </c>
      <c r="F21" s="24" t="str">
        <f t="shared" si="3"/>
        <v>ERR</v>
      </c>
      <c r="G21" s="25" t="str">
        <f t="shared" si="2"/>
        <v>ERR</v>
      </c>
      <c r="H21" s="101"/>
      <c r="I21" s="21"/>
      <c r="M21" s="91"/>
      <c r="N21" t="s">
        <v>160</v>
      </c>
      <c r="O21">
        <v>18.5</v>
      </c>
    </row>
    <row r="22" spans="1:20" ht="15" customHeight="1">
      <c r="A22" s="23">
        <v>46156</v>
      </c>
      <c r="B22" s="99" t="str">
        <f t="shared" si="1"/>
        <v>Thursday</v>
      </c>
      <c r="C22" s="99" t="e">
        <f>VLOOKUP(A22,[1]חגים!$A$2:$C$794,2,FALSE)</f>
        <v>#N/A</v>
      </c>
      <c r="D22" s="99" t="str">
        <f t="shared" si="4"/>
        <v>ERR</v>
      </c>
      <c r="E22" s="24" t="str">
        <f t="shared" si="0"/>
        <v>ERR</v>
      </c>
      <c r="F22" s="24" t="str">
        <f t="shared" si="3"/>
        <v>ERR</v>
      </c>
      <c r="G22" s="25" t="str">
        <f t="shared" si="2"/>
        <v>ERR</v>
      </c>
      <c r="H22" s="101"/>
      <c r="I22" s="21"/>
      <c r="M22" s="91"/>
      <c r="N22" t="s">
        <v>161</v>
      </c>
      <c r="O22">
        <v>0</v>
      </c>
      <c r="Q22" t="s">
        <v>205</v>
      </c>
      <c r="R22" s="100" t="s">
        <v>174</v>
      </c>
    </row>
    <row r="23" spans="1:20" ht="15" customHeight="1">
      <c r="A23" s="23">
        <v>46157</v>
      </c>
      <c r="B23" s="99" t="str">
        <f t="shared" si="1"/>
        <v>Friday</v>
      </c>
      <c r="C23" s="99" t="e">
        <f>VLOOKUP(A23,[1]חגים!$A$2:$C$794,2,FALSE)</f>
        <v>#N/A</v>
      </c>
      <c r="D23" s="99" t="str">
        <f t="shared" si="4"/>
        <v>ERR</v>
      </c>
      <c r="E23" s="24" t="str">
        <f t="shared" si="0"/>
        <v>ERR</v>
      </c>
      <c r="F23" s="24" t="str">
        <f t="shared" si="3"/>
        <v>ERR</v>
      </c>
      <c r="G23" s="25" t="str">
        <f t="shared" si="2"/>
        <v>ERR</v>
      </c>
      <c r="H23" s="101"/>
      <c r="I23" s="21"/>
      <c r="M23" s="91"/>
      <c r="N23" t="s">
        <v>162</v>
      </c>
      <c r="R23" s="98" t="s">
        <v>171</v>
      </c>
      <c r="S23" s="98" t="s">
        <v>172</v>
      </c>
      <c r="T23" s="98" t="s">
        <v>173</v>
      </c>
    </row>
    <row r="24" spans="1:20" ht="15" customHeight="1">
      <c r="A24" s="23">
        <v>46158</v>
      </c>
      <c r="B24" s="99" t="str">
        <f t="shared" si="1"/>
        <v>Saturday</v>
      </c>
      <c r="C24" s="99" t="e">
        <f>VLOOKUP(A24,[1]חגים!$A$2:$C$794,2,FALSE)</f>
        <v>#N/A</v>
      </c>
      <c r="D24" s="99" t="str">
        <f t="shared" si="4"/>
        <v>ERR</v>
      </c>
      <c r="E24" s="24" t="str">
        <f t="shared" si="0"/>
        <v>ERR</v>
      </c>
      <c r="F24" s="24" t="str">
        <f t="shared" si="3"/>
        <v>ERR</v>
      </c>
      <c r="G24" s="25" t="str">
        <f t="shared" si="2"/>
        <v>ERR</v>
      </c>
      <c r="H24" s="39"/>
      <c r="I24" s="21"/>
      <c r="M24" s="91"/>
      <c r="N24" t="s">
        <v>163</v>
      </c>
      <c r="Q24" s="364" t="s">
        <v>170</v>
      </c>
      <c r="R24" s="98" t="s">
        <v>307</v>
      </c>
      <c r="S24" s="97">
        <v>4.75</v>
      </c>
      <c r="T24" s="97">
        <v>1</v>
      </c>
    </row>
    <row r="25" spans="1:20" ht="15" customHeight="1">
      <c r="A25" s="23">
        <v>46159</v>
      </c>
      <c r="B25" s="99" t="str">
        <f t="shared" si="1"/>
        <v>Sunday</v>
      </c>
      <c r="C25" s="99" t="e">
        <f>VLOOKUP(A25,[1]חגים!$A$2:$C$794,2,FALSE)</f>
        <v>#N/A</v>
      </c>
      <c r="D25" s="99" t="str">
        <f t="shared" si="4"/>
        <v>ERR</v>
      </c>
      <c r="E25" s="24" t="str">
        <f t="shared" si="0"/>
        <v>ERR</v>
      </c>
      <c r="F25" s="24" t="str">
        <f t="shared" si="3"/>
        <v>ERR</v>
      </c>
      <c r="G25" s="25" t="str">
        <f t="shared" si="2"/>
        <v>ERR</v>
      </c>
      <c r="H25" s="39"/>
      <c r="I25" s="21"/>
      <c r="M25" s="91"/>
      <c r="N25" t="s">
        <v>164</v>
      </c>
      <c r="Q25" s="365"/>
      <c r="R25" s="98" t="s">
        <v>308</v>
      </c>
      <c r="S25" s="97">
        <v>4.75</v>
      </c>
      <c r="T25" s="97">
        <v>1</v>
      </c>
    </row>
    <row r="26" spans="1:20" ht="15" customHeight="1">
      <c r="A26" s="23">
        <v>46160</v>
      </c>
      <c r="B26" s="99" t="str">
        <f t="shared" si="1"/>
        <v>Monday</v>
      </c>
      <c r="C26" s="99" t="e">
        <f>VLOOKUP(A26,[1]חגים!$A$2:$C$794,2,FALSE)</f>
        <v>#N/A</v>
      </c>
      <c r="D26" s="99" t="str">
        <f t="shared" si="4"/>
        <v>ERR</v>
      </c>
      <c r="E26" s="24" t="str">
        <f t="shared" si="0"/>
        <v>ERR</v>
      </c>
      <c r="F26" s="24" t="str">
        <f t="shared" si="3"/>
        <v>ERR</v>
      </c>
      <c r="G26" s="25" t="str">
        <f t="shared" si="2"/>
        <v>ERR</v>
      </c>
      <c r="H26" s="39"/>
      <c r="I26" s="21"/>
      <c r="M26" s="91"/>
      <c r="N26" t="s">
        <v>165</v>
      </c>
      <c r="O26">
        <v>7.5</v>
      </c>
      <c r="Q26" s="366"/>
      <c r="R26" s="98" t="s">
        <v>306</v>
      </c>
      <c r="S26" s="97">
        <v>5</v>
      </c>
      <c r="T26" s="97">
        <v>1</v>
      </c>
    </row>
    <row r="27" spans="1:20" ht="15" customHeight="1">
      <c r="A27" s="23">
        <v>46161</v>
      </c>
      <c r="B27" s="99" t="str">
        <f t="shared" si="1"/>
        <v>Tuesday</v>
      </c>
      <c r="C27" s="99" t="e">
        <f>VLOOKUP(A27,[1]חגים!$A$2:$C$794,2,FALSE)</f>
        <v>#N/A</v>
      </c>
      <c r="D27" s="99" t="str">
        <f t="shared" si="4"/>
        <v>ERR</v>
      </c>
      <c r="E27" s="24" t="str">
        <f t="shared" si="0"/>
        <v>ERR</v>
      </c>
      <c r="F27" s="24" t="str">
        <f t="shared" si="3"/>
        <v>ERR</v>
      </c>
      <c r="G27" s="25" t="str">
        <f t="shared" si="2"/>
        <v>ERR</v>
      </c>
      <c r="H27" s="101"/>
      <c r="I27" s="21"/>
      <c r="M27" s="91"/>
      <c r="N27" t="s">
        <v>166</v>
      </c>
      <c r="O27">
        <v>4</v>
      </c>
      <c r="Q27" s="364" t="s">
        <v>168</v>
      </c>
      <c r="R27" s="98" t="s">
        <v>304</v>
      </c>
      <c r="S27" s="97">
        <v>7</v>
      </c>
      <c r="T27" s="97">
        <v>1</v>
      </c>
    </row>
    <row r="28" spans="1:20" ht="15" customHeight="1">
      <c r="A28" s="23">
        <v>46162</v>
      </c>
      <c r="B28" s="99" t="str">
        <f t="shared" si="1"/>
        <v>Wednesday</v>
      </c>
      <c r="C28" s="99" t="e">
        <f>VLOOKUP(A28,[1]חגים!$A$2:$C$794,2,FALSE)</f>
        <v>#N/A</v>
      </c>
      <c r="D28" s="99" t="str">
        <f t="shared" si="4"/>
        <v>ERR</v>
      </c>
      <c r="E28" s="24" t="str">
        <f t="shared" si="0"/>
        <v>ERR</v>
      </c>
      <c r="F28" s="24" t="str">
        <f t="shared" si="3"/>
        <v>ERR</v>
      </c>
      <c r="G28" s="25" t="str">
        <f t="shared" si="2"/>
        <v>ERR</v>
      </c>
      <c r="H28" s="101"/>
      <c r="I28" s="21"/>
      <c r="Q28" s="365"/>
      <c r="R28" s="97"/>
      <c r="S28" s="97"/>
      <c r="T28" s="97"/>
    </row>
    <row r="29" spans="1:20" ht="15" customHeight="1">
      <c r="A29" s="23">
        <v>46163</v>
      </c>
      <c r="B29" s="99" t="str">
        <f t="shared" si="1"/>
        <v>Thursday</v>
      </c>
      <c r="C29" s="99" t="e">
        <f>VLOOKUP(A29,[1]חגים!$A$2:$C$794,2,FALSE)</f>
        <v>#N/A</v>
      </c>
      <c r="D29" s="99" t="str">
        <f t="shared" si="4"/>
        <v>ERR</v>
      </c>
      <c r="E29" s="24" t="str">
        <f t="shared" si="0"/>
        <v>ERR</v>
      </c>
      <c r="F29" s="24" t="str">
        <f t="shared" si="3"/>
        <v>ERR</v>
      </c>
      <c r="G29" s="25" t="str">
        <f t="shared" si="2"/>
        <v>ERR</v>
      </c>
      <c r="H29" s="101"/>
      <c r="I29" s="21"/>
      <c r="Q29" s="366"/>
      <c r="R29" s="97"/>
      <c r="S29" s="97"/>
      <c r="T29" s="97"/>
    </row>
    <row r="30" spans="1:20" ht="15" customHeight="1">
      <c r="A30" s="23">
        <v>46164</v>
      </c>
      <c r="B30" s="99" t="str">
        <f t="shared" si="1"/>
        <v>Friday</v>
      </c>
      <c r="C30" s="99" t="e">
        <f>VLOOKUP(A30,[1]חגים!$A$2:$C$794,2,FALSE)</f>
        <v>#N/A</v>
      </c>
      <c r="D30" s="99" t="str">
        <f t="shared" si="4"/>
        <v>ERR</v>
      </c>
      <c r="E30" s="24" t="str">
        <f t="shared" si="0"/>
        <v>ERR</v>
      </c>
      <c r="F30" s="24" t="str">
        <f t="shared" si="3"/>
        <v>ERR</v>
      </c>
      <c r="G30" s="25" t="str">
        <f t="shared" si="2"/>
        <v>ERR</v>
      </c>
      <c r="H30" s="103"/>
      <c r="I30" s="21"/>
      <c r="Q30" s="360" t="s">
        <v>166</v>
      </c>
      <c r="R30" s="97"/>
      <c r="S30" s="97"/>
      <c r="T30" s="97"/>
    </row>
    <row r="31" spans="1:20" ht="15" customHeight="1">
      <c r="A31" s="23">
        <v>46165</v>
      </c>
      <c r="B31" s="99" t="str">
        <f t="shared" si="1"/>
        <v>Saturday</v>
      </c>
      <c r="C31" s="99" t="e">
        <f>VLOOKUP(A31,[1]חגים!$A$2:$C$794,2,FALSE)</f>
        <v>#N/A</v>
      </c>
      <c r="D31" s="99" t="str">
        <f t="shared" si="4"/>
        <v>ERR</v>
      </c>
      <c r="E31" s="24" t="str">
        <f t="shared" si="0"/>
        <v>ERR</v>
      </c>
      <c r="F31" s="24" t="str">
        <f t="shared" si="3"/>
        <v>ERR</v>
      </c>
      <c r="G31" s="25" t="str">
        <f t="shared" si="2"/>
        <v>ERR</v>
      </c>
      <c r="H31" s="101"/>
      <c r="I31" s="21"/>
      <c r="Q31" s="361"/>
      <c r="R31" s="98" t="s">
        <v>305</v>
      </c>
      <c r="S31" s="97">
        <v>4</v>
      </c>
      <c r="T31" s="97">
        <v>1</v>
      </c>
    </row>
    <row r="32" spans="1:20" ht="15" customHeight="1">
      <c r="A32" s="23">
        <v>46166</v>
      </c>
      <c r="B32" s="99" t="str">
        <f t="shared" si="1"/>
        <v>Sunday</v>
      </c>
      <c r="C32" s="99" t="e">
        <f>VLOOKUP(A32,[1]חגים!$A$2:$C$794,2,FALSE)</f>
        <v>#N/A</v>
      </c>
      <c r="D32" s="99" t="str">
        <f t="shared" si="4"/>
        <v>ERR</v>
      </c>
      <c r="E32" s="24" t="str">
        <f t="shared" si="0"/>
        <v>ERR</v>
      </c>
      <c r="F32" s="24" t="str">
        <f t="shared" si="3"/>
        <v>ERR</v>
      </c>
      <c r="G32" s="25" t="str">
        <f t="shared" si="2"/>
        <v>ERR</v>
      </c>
      <c r="H32" s="101"/>
      <c r="I32" s="21"/>
    </row>
    <row r="33" spans="1:14" ht="15" customHeight="1">
      <c r="A33" s="23">
        <v>46167</v>
      </c>
      <c r="B33" s="99" t="str">
        <f t="shared" si="1"/>
        <v>Monday</v>
      </c>
      <c r="C33" s="99" t="e">
        <f>VLOOKUP(A33,[1]חגים!$A$2:$C$794,2,FALSE)</f>
        <v>#N/A</v>
      </c>
      <c r="D33" s="99" t="str">
        <f t="shared" si="4"/>
        <v>ERR</v>
      </c>
      <c r="E33" s="24" t="str">
        <f t="shared" si="0"/>
        <v>ERR</v>
      </c>
      <c r="F33" s="24" t="str">
        <f t="shared" si="3"/>
        <v>ERR</v>
      </c>
      <c r="G33" s="25" t="str">
        <f t="shared" si="2"/>
        <v>ERR</v>
      </c>
      <c r="H33" s="104"/>
      <c r="I33" s="21"/>
    </row>
    <row r="34" spans="1:14" ht="15" customHeight="1">
      <c r="A34" s="23">
        <v>46168</v>
      </c>
      <c r="B34" s="99" t="str">
        <f t="shared" si="1"/>
        <v>Tuesday</v>
      </c>
      <c r="C34" s="99" t="e">
        <f>VLOOKUP(A34,[1]חגים!$A$2:$C$794,2,FALSE)</f>
        <v>#N/A</v>
      </c>
      <c r="D34" s="99" t="str">
        <f t="shared" si="4"/>
        <v>ERR</v>
      </c>
      <c r="E34" s="24" t="str">
        <f t="shared" si="0"/>
        <v>ERR</v>
      </c>
      <c r="F34" s="24" t="str">
        <f t="shared" si="3"/>
        <v>ERR</v>
      </c>
      <c r="G34" s="25" t="str">
        <f t="shared" si="2"/>
        <v>ERR</v>
      </c>
      <c r="H34" s="101"/>
      <c r="I34" s="21"/>
    </row>
    <row r="35" spans="1:14" ht="15" customHeight="1">
      <c r="A35" s="23">
        <v>46169</v>
      </c>
      <c r="B35" s="99" t="str">
        <f t="shared" si="1"/>
        <v>Wednesday</v>
      </c>
      <c r="C35" s="99" t="e">
        <f>VLOOKUP(A35,[1]חגים!$A$2:$C$794,2,FALSE)</f>
        <v>#N/A</v>
      </c>
      <c r="D35" s="99" t="str">
        <f t="shared" si="4"/>
        <v>ERR</v>
      </c>
      <c r="E35" s="24" t="str">
        <f t="shared" si="0"/>
        <v>ERR</v>
      </c>
      <c r="F35" s="24" t="str">
        <f t="shared" si="3"/>
        <v>ERR</v>
      </c>
      <c r="G35" s="25" t="str">
        <f t="shared" si="2"/>
        <v>ERR</v>
      </c>
      <c r="H35" s="101"/>
      <c r="I35" s="21"/>
    </row>
    <row r="36" spans="1:14" ht="15" customHeight="1">
      <c r="A36" s="23">
        <v>46170</v>
      </c>
      <c r="B36" s="99" t="str">
        <f t="shared" si="1"/>
        <v>Thursday</v>
      </c>
      <c r="C36" s="99" t="e">
        <f>VLOOKUP(A36,[1]חגים!$A$2:$C$794,2,FALSE)</f>
        <v>#N/A</v>
      </c>
      <c r="D36" s="99" t="str">
        <f t="shared" si="4"/>
        <v>ERR</v>
      </c>
      <c r="E36" s="24" t="str">
        <f t="shared" si="0"/>
        <v>ERR</v>
      </c>
      <c r="F36" s="24" t="str">
        <f t="shared" si="3"/>
        <v>ERR</v>
      </c>
      <c r="G36" s="25" t="str">
        <f t="shared" si="2"/>
        <v>ERR</v>
      </c>
      <c r="H36" s="39"/>
      <c r="I36" s="21"/>
      <c r="M36" s="178">
        <v>0.70833333333333337</v>
      </c>
      <c r="N36" s="178">
        <v>0.875</v>
      </c>
    </row>
    <row r="37" spans="1:14" ht="15" customHeight="1">
      <c r="A37" s="23">
        <v>46171</v>
      </c>
      <c r="B37" s="99" t="str">
        <f t="shared" si="1"/>
        <v>Friday</v>
      </c>
      <c r="C37" s="99" t="e">
        <f>VLOOKUP(A37,[1]חגים!$A$2:$C$794,2,FALSE)</f>
        <v>#N/A</v>
      </c>
      <c r="D37" s="99" t="str">
        <f t="shared" si="4"/>
        <v>ERR</v>
      </c>
      <c r="E37" s="24" t="str">
        <f t="shared" si="0"/>
        <v>ERR</v>
      </c>
      <c r="F37" s="24" t="str">
        <f t="shared" si="3"/>
        <v>ERR</v>
      </c>
      <c r="G37" s="25" t="str">
        <f t="shared" si="2"/>
        <v>ERR</v>
      </c>
      <c r="H37" s="39"/>
      <c r="I37" s="21"/>
      <c r="N37" s="178"/>
    </row>
    <row r="38" spans="1:14" ht="15" customHeight="1">
      <c r="A38" s="23">
        <v>46172</v>
      </c>
      <c r="B38" s="99" t="str">
        <f t="shared" si="1"/>
        <v>Saturday</v>
      </c>
      <c r="C38" s="99" t="e">
        <f>VLOOKUP(A38,[1]חגים!$A$2:$C$794,2,FALSE)</f>
        <v>#N/A</v>
      </c>
      <c r="D38" s="99" t="str">
        <f t="shared" si="4"/>
        <v>ERR</v>
      </c>
      <c r="E38" s="24" t="str">
        <f t="shared" si="0"/>
        <v>ERR</v>
      </c>
      <c r="F38" s="24" t="str">
        <f t="shared" si="3"/>
        <v>ERR</v>
      </c>
      <c r="G38" s="25" t="str">
        <f t="shared" si="2"/>
        <v>ERR</v>
      </c>
      <c r="H38" s="39"/>
      <c r="I38" s="21"/>
      <c r="N38" s="178"/>
    </row>
    <row r="39" spans="1:14" ht="15" customHeight="1">
      <c r="A39" s="23">
        <v>46173</v>
      </c>
      <c r="B39" s="99" t="str">
        <f t="shared" si="1"/>
        <v>Sunday</v>
      </c>
      <c r="C39" s="99" t="e">
        <f>VLOOKUP(A39,[1]חגים!$A$2:$C$794,2,FALSE)</f>
        <v>#N/A</v>
      </c>
      <c r="D39" s="99" t="str">
        <f t="shared" si="4"/>
        <v>ERR</v>
      </c>
      <c r="E39" s="24" t="str">
        <f t="shared" si="0"/>
        <v>ERR</v>
      </c>
      <c r="F39" s="24" t="str">
        <f t="shared" si="3"/>
        <v>ERR</v>
      </c>
      <c r="G39" s="25" t="str">
        <f t="shared" si="2"/>
        <v>ERR</v>
      </c>
      <c r="H39" s="39"/>
      <c r="I39" s="21"/>
      <c r="N39" s="178"/>
    </row>
    <row r="40" spans="1:14" ht="23">
      <c r="A40" s="43"/>
      <c r="B40" s="40"/>
      <c r="C40" s="40"/>
      <c r="D40" s="24"/>
      <c r="E40" s="42"/>
      <c r="F40" s="42"/>
      <c r="G40" s="26">
        <f>SUM(G9:G39)</f>
        <v>0</v>
      </c>
      <c r="H40" s="40"/>
      <c r="I40" s="27"/>
      <c r="N40" s="178">
        <v>0.875</v>
      </c>
    </row>
    <row r="41" spans="1:14" ht="23">
      <c r="A41" s="40" t="s">
        <v>11</v>
      </c>
      <c r="B41" s="40"/>
      <c r="C41" s="40"/>
      <c r="D41" s="24"/>
      <c r="E41" s="42" t="s">
        <v>10</v>
      </c>
      <c r="F41" s="40"/>
      <c r="G41" s="41"/>
      <c r="H41" s="45"/>
      <c r="I41" s="28"/>
      <c r="N41" s="178">
        <v>0.83333333333333337</v>
      </c>
    </row>
    <row r="42" spans="1:14">
      <c r="A42" s="29"/>
      <c r="B42" s="30"/>
      <c r="C42" s="30"/>
      <c r="D42" s="30"/>
      <c r="E42" s="30"/>
      <c r="F42" s="30"/>
      <c r="G42" s="29"/>
      <c r="H42" s="31"/>
      <c r="I42" s="32"/>
      <c r="N42" s="178">
        <v>0.91666666666666663</v>
      </c>
    </row>
    <row r="43" spans="1:14">
      <c r="N43" s="178">
        <v>0.875</v>
      </c>
    </row>
    <row r="44" spans="1:14">
      <c r="N44" s="178">
        <v>0.70833333333333337</v>
      </c>
    </row>
    <row r="45" spans="1:14">
      <c r="N45" s="178">
        <v>0.83333333333333337</v>
      </c>
    </row>
    <row r="46" spans="1:14">
      <c r="N46" s="178">
        <v>0.875</v>
      </c>
    </row>
    <row r="47" spans="1:14">
      <c r="N47" s="178">
        <v>0.79166666666666663</v>
      </c>
    </row>
  </sheetData>
  <mergeCells count="6">
    <mergeCell ref="Q30:Q31"/>
    <mergeCell ref="F7:F8"/>
    <mergeCell ref="D7:D8"/>
    <mergeCell ref="E7:E8"/>
    <mergeCell ref="Q24:Q26"/>
    <mergeCell ref="Q27:Q29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D9D9"/>
    <pageSetUpPr fitToPage="1"/>
  </sheetPr>
  <dimension ref="A1:AI71"/>
  <sheetViews>
    <sheetView rightToLeft="1" topLeftCell="A48" zoomScale="90" zoomScaleNormal="90" workbookViewId="0">
      <selection activeCell="D64" sqref="D64"/>
    </sheetView>
  </sheetViews>
  <sheetFormatPr baseColWidth="10" defaultColWidth="9.1640625" defaultRowHeight="15"/>
  <cols>
    <col min="1" max="1" width="39.6640625" style="49" bestFit="1" customWidth="1"/>
    <col min="2" max="2" width="15.6640625" style="49" customWidth="1"/>
    <col min="3" max="3" width="16.1640625" style="49" customWidth="1"/>
    <col min="4" max="4" width="13.6640625" style="49" customWidth="1"/>
    <col min="5" max="5" width="12.6640625" style="49" customWidth="1"/>
    <col min="6" max="6" width="13.1640625" style="49" customWidth="1"/>
    <col min="7" max="10" width="14.6640625" style="49" customWidth="1"/>
    <col min="11" max="11" width="14.1640625" style="49" customWidth="1"/>
    <col min="12" max="12" width="14.6640625" style="49" customWidth="1"/>
    <col min="13" max="13" width="15" style="49" bestFit="1" customWidth="1"/>
    <col min="14" max="14" width="15.1640625" style="49" customWidth="1"/>
    <col min="15" max="15" width="19.6640625" style="49" bestFit="1" customWidth="1"/>
    <col min="16" max="16" width="15.1640625" style="49" bestFit="1" customWidth="1"/>
    <col min="17" max="17" width="15.1640625" style="49" customWidth="1"/>
    <col min="18" max="18" width="17.1640625" style="49" customWidth="1"/>
    <col min="19" max="20" width="15.6640625" style="49" customWidth="1"/>
    <col min="21" max="23" width="10.6640625" style="49" customWidth="1"/>
    <col min="24" max="24" width="10.6640625" style="49" bestFit="1" customWidth="1"/>
    <col min="25" max="25" width="11.1640625" style="49" bestFit="1" customWidth="1"/>
    <col min="26" max="26" width="10.6640625" style="49" bestFit="1" customWidth="1"/>
    <col min="27" max="27" width="9.1640625" style="49"/>
    <col min="28" max="28" width="19.6640625" style="49" bestFit="1" customWidth="1"/>
    <col min="29" max="29" width="9.6640625" style="49" bestFit="1" customWidth="1"/>
    <col min="30" max="30" width="10.1640625" style="49" bestFit="1" customWidth="1"/>
    <col min="31" max="31" width="11" style="49" customWidth="1"/>
    <col min="32" max="32" width="13.1640625" style="49" bestFit="1" customWidth="1"/>
    <col min="33" max="33" width="13.1640625" style="49" customWidth="1"/>
    <col min="34" max="34" width="11" style="49" customWidth="1"/>
    <col min="35" max="35" width="12.1640625" style="49" bestFit="1" customWidth="1"/>
    <col min="36" max="16384" width="9.1640625" style="49"/>
  </cols>
  <sheetData>
    <row r="1" spans="1:35" ht="26">
      <c r="A1" s="301" t="s">
        <v>177</v>
      </c>
      <c r="B1" s="118"/>
      <c r="C1" s="118"/>
      <c r="D1" s="118"/>
      <c r="E1" s="118"/>
      <c r="F1" s="118"/>
      <c r="G1" s="118"/>
      <c r="H1" s="118"/>
      <c r="I1" s="118"/>
      <c r="J1" s="118"/>
      <c r="K1" s="118"/>
      <c r="L1" s="118"/>
      <c r="M1" s="118"/>
      <c r="N1" s="118"/>
      <c r="O1" s="118"/>
      <c r="P1" s="118"/>
      <c r="Q1" s="118"/>
      <c r="R1" s="118"/>
      <c r="S1" s="118"/>
      <c r="T1" s="118"/>
      <c r="U1" s="118"/>
      <c r="V1" s="118"/>
      <c r="W1" s="118"/>
      <c r="X1" s="118"/>
      <c r="Y1" s="118"/>
      <c r="Z1" s="118"/>
      <c r="AA1" s="105"/>
      <c r="AB1" s="105"/>
      <c r="AC1" s="105"/>
      <c r="AD1" s="105"/>
      <c r="AE1" s="105"/>
      <c r="AF1" s="105"/>
      <c r="AG1" s="105"/>
      <c r="AH1" s="105"/>
      <c r="AI1" s="105"/>
    </row>
    <row r="2" spans="1:35" ht="23">
      <c r="A2" s="265" t="s">
        <v>323</v>
      </c>
      <c r="B2" s="117"/>
      <c r="C2" s="117"/>
      <c r="D2" s="117"/>
      <c r="E2" s="117"/>
      <c r="F2" s="117"/>
      <c r="G2" s="117"/>
      <c r="H2" s="117"/>
      <c r="I2" s="117"/>
      <c r="J2" s="117"/>
      <c r="K2" s="117"/>
      <c r="L2" s="117"/>
      <c r="M2" s="117"/>
      <c r="N2" s="117"/>
      <c r="O2" s="117"/>
      <c r="P2" s="117"/>
      <c r="Q2" s="117"/>
      <c r="R2" s="117"/>
      <c r="S2" s="117"/>
      <c r="T2" s="117"/>
      <c r="U2" s="117"/>
      <c r="V2" s="117"/>
      <c r="W2" s="117"/>
      <c r="X2" s="117"/>
      <c r="Y2" s="117"/>
      <c r="Z2" s="117"/>
      <c r="AA2" s="105"/>
      <c r="AB2" s="105"/>
      <c r="AC2" s="105"/>
      <c r="AD2" s="105"/>
      <c r="AE2" s="105"/>
      <c r="AF2" s="105"/>
      <c r="AG2" s="105"/>
      <c r="AH2" s="105"/>
      <c r="AI2" s="105"/>
    </row>
    <row r="3" spans="1:35" ht="24" thickBot="1">
      <c r="A3" s="50"/>
      <c r="B3" s="50"/>
      <c r="C3" s="50"/>
      <c r="D3" s="50"/>
      <c r="E3" s="117"/>
      <c r="F3" s="50"/>
      <c r="G3" s="297"/>
      <c r="J3" s="297"/>
      <c r="K3" s="297"/>
      <c r="L3" s="105"/>
      <c r="M3" s="105"/>
      <c r="N3" s="105"/>
      <c r="O3" s="105"/>
      <c r="P3" s="105"/>
      <c r="Q3" s="105"/>
      <c r="R3" s="105"/>
      <c r="S3" s="105"/>
      <c r="T3" s="105"/>
      <c r="U3" s="105"/>
      <c r="V3" s="105"/>
      <c r="W3" s="105"/>
      <c r="X3" s="105"/>
      <c r="Y3" s="105"/>
      <c r="Z3" s="105"/>
      <c r="AA3" s="105"/>
      <c r="AH3" s="50"/>
    </row>
    <row r="4" spans="1:35" ht="21" customHeight="1" thickBot="1">
      <c r="A4" s="115" t="s">
        <v>25</v>
      </c>
      <c r="B4" s="179" t="s">
        <v>279</v>
      </c>
      <c r="C4" s="179" t="s">
        <v>301</v>
      </c>
      <c r="D4" s="179" t="s">
        <v>302</v>
      </c>
      <c r="E4" s="106" t="s">
        <v>260</v>
      </c>
      <c r="F4" s="106" t="s">
        <v>274</v>
      </c>
      <c r="G4" s="106" t="s">
        <v>322</v>
      </c>
      <c r="H4" s="106" t="s">
        <v>282</v>
      </c>
      <c r="I4" s="106" t="s">
        <v>284</v>
      </c>
      <c r="J4" s="106" t="s">
        <v>300</v>
      </c>
      <c r="K4" s="106" t="s">
        <v>302</v>
      </c>
      <c r="L4" s="106"/>
      <c r="M4" s="234" t="s">
        <v>5</v>
      </c>
      <c r="N4" s="309" t="s">
        <v>44</v>
      </c>
      <c r="O4" s="51"/>
    </row>
    <row r="5" spans="1:35" ht="20.25" customHeight="1">
      <c r="A5" s="115" t="s">
        <v>26</v>
      </c>
      <c r="B5" s="180" t="s">
        <v>45</v>
      </c>
      <c r="C5" s="180" t="s">
        <v>45</v>
      </c>
      <c r="D5" s="180" t="s">
        <v>45</v>
      </c>
      <c r="E5" s="69" t="s">
        <v>46</v>
      </c>
      <c r="F5" s="69" t="s">
        <v>46</v>
      </c>
      <c r="G5" s="69" t="s">
        <v>46</v>
      </c>
      <c r="H5" s="69" t="s">
        <v>46</v>
      </c>
      <c r="I5" s="69" t="s">
        <v>46</v>
      </c>
      <c r="J5" s="69" t="s">
        <v>46</v>
      </c>
      <c r="K5" s="69" t="s">
        <v>46</v>
      </c>
      <c r="L5" s="69"/>
      <c r="M5" s="235"/>
      <c r="N5" s="310"/>
      <c r="O5" s="51"/>
    </row>
    <row r="6" spans="1:35" ht="18">
      <c r="A6" s="116" t="s">
        <v>27</v>
      </c>
      <c r="B6" s="182"/>
      <c r="C6" s="182">
        <f>'סיכום אמוני סטודיו וקבוצה'!P23</f>
        <v>58.75</v>
      </c>
      <c r="D6" s="182">
        <f>'סיכום אמוני סטודיו וקבוצה'!P22</f>
        <v>60</v>
      </c>
      <c r="E6" s="266">
        <f>'סיכום אמוני סטודיו וקבוצה'!O25</f>
        <v>60.5</v>
      </c>
      <c r="F6" s="266">
        <f>'סיכום אמוני סטודיו וקבוצה'!O20</f>
        <v>47.5</v>
      </c>
      <c r="G6" s="266">
        <f>'סיכום אמוני סטודיו וקבוצה'!O24</f>
        <v>56.95</v>
      </c>
      <c r="H6" s="266">
        <f>'סיכום אמוני סטודיו וקבוצה'!O26</f>
        <v>17</v>
      </c>
      <c r="I6" s="266">
        <f>'סיכום אמוני סטודיו וקבוצה'!O27</f>
        <v>11.5</v>
      </c>
      <c r="J6" s="266">
        <f>'סיכום אמוני סטודיו וקבוצה'!O28</f>
        <v>57</v>
      </c>
      <c r="K6" s="266">
        <f>'סיכום אמוני סטודיו וקבוצה'!O22</f>
        <v>45.900000000000006</v>
      </c>
      <c r="L6" s="266"/>
      <c r="M6" s="131">
        <f t="shared" ref="M6:M14" si="0">SUM(B6:L6)</f>
        <v>415.1</v>
      </c>
      <c r="N6" s="47">
        <f>SUM(B25:L26)</f>
        <v>32143.5625</v>
      </c>
      <c r="O6" s="51"/>
    </row>
    <row r="7" spans="1:35" ht="18">
      <c r="A7" s="116" t="s">
        <v>28</v>
      </c>
      <c r="B7" s="182"/>
      <c r="C7" s="182">
        <v>1</v>
      </c>
      <c r="D7" s="182"/>
      <c r="E7" s="266">
        <v>9</v>
      </c>
      <c r="F7" s="266"/>
      <c r="G7" s="266"/>
      <c r="H7" s="266"/>
      <c r="I7" s="266"/>
      <c r="J7" s="266"/>
      <c r="K7" s="266">
        <v>0.56999999999999995</v>
      </c>
      <c r="L7" s="266"/>
      <c r="M7" s="48">
        <f t="shared" si="0"/>
        <v>10.57</v>
      </c>
      <c r="N7" s="47"/>
      <c r="O7" s="51"/>
    </row>
    <row r="8" spans="1:35" ht="18">
      <c r="A8" s="116" t="s">
        <v>29</v>
      </c>
      <c r="B8" s="182"/>
      <c r="C8" s="182"/>
      <c r="D8" s="182"/>
      <c r="E8" s="266">
        <v>1</v>
      </c>
      <c r="F8" s="266"/>
      <c r="G8" s="266">
        <v>3.05</v>
      </c>
      <c r="H8" s="266"/>
      <c r="I8" s="266"/>
      <c r="J8" s="266">
        <v>5</v>
      </c>
      <c r="K8" s="266"/>
      <c r="L8" s="266"/>
      <c r="M8" s="48">
        <f t="shared" si="0"/>
        <v>9.0500000000000007</v>
      </c>
      <c r="N8" s="47"/>
      <c r="O8" s="51"/>
    </row>
    <row r="9" spans="1:35" ht="18">
      <c r="A9" s="116" t="s">
        <v>30</v>
      </c>
      <c r="B9" s="182"/>
      <c r="C9" s="182"/>
      <c r="D9" s="182"/>
      <c r="E9" s="266"/>
      <c r="F9" s="266"/>
      <c r="G9" s="266"/>
      <c r="H9" s="266"/>
      <c r="I9" s="266"/>
      <c r="J9" s="266"/>
      <c r="K9" s="266"/>
      <c r="L9" s="266"/>
      <c r="M9" s="48">
        <f t="shared" si="0"/>
        <v>0</v>
      </c>
      <c r="N9" s="47"/>
      <c r="O9" s="51"/>
    </row>
    <row r="10" spans="1:35" ht="18">
      <c r="A10" s="116" t="s">
        <v>31</v>
      </c>
      <c r="B10" s="182"/>
      <c r="C10" s="182"/>
      <c r="D10" s="182"/>
      <c r="E10" s="266"/>
      <c r="F10" s="266"/>
      <c r="G10" s="266"/>
      <c r="H10" s="266"/>
      <c r="I10" s="266"/>
      <c r="J10" s="266"/>
      <c r="K10" s="266"/>
      <c r="L10" s="266"/>
      <c r="M10" s="48">
        <f t="shared" si="0"/>
        <v>0</v>
      </c>
      <c r="N10" s="47"/>
      <c r="O10" s="51"/>
    </row>
    <row r="11" spans="1:35" ht="18">
      <c r="A11" s="116" t="s">
        <v>32</v>
      </c>
      <c r="B11" s="272"/>
      <c r="C11" s="272">
        <v>100</v>
      </c>
      <c r="D11" s="272">
        <v>200</v>
      </c>
      <c r="E11" s="267">
        <v>208.5</v>
      </c>
      <c r="F11" s="267">
        <v>100</v>
      </c>
      <c r="G11" s="267">
        <v>100</v>
      </c>
      <c r="H11" s="267">
        <v>160</v>
      </c>
      <c r="I11" s="267">
        <v>100</v>
      </c>
      <c r="J11" s="267">
        <v>100</v>
      </c>
      <c r="K11" s="267"/>
      <c r="L11" s="267"/>
      <c r="M11" s="48">
        <f t="shared" si="0"/>
        <v>1068.5</v>
      </c>
      <c r="N11" s="47"/>
      <c r="O11" s="51"/>
    </row>
    <row r="12" spans="1:35" ht="18">
      <c r="A12" s="116"/>
      <c r="B12" s="84"/>
      <c r="C12" s="84"/>
      <c r="D12" s="84"/>
      <c r="E12" s="268"/>
      <c r="F12" s="268"/>
      <c r="G12" s="268"/>
      <c r="H12" s="268"/>
      <c r="I12" s="268"/>
      <c r="J12" s="268"/>
      <c r="K12" s="268"/>
      <c r="L12" s="268"/>
      <c r="M12" s="48">
        <f t="shared" si="0"/>
        <v>0</v>
      </c>
      <c r="N12" s="183"/>
      <c r="O12" s="51"/>
    </row>
    <row r="13" spans="1:35" ht="18">
      <c r="A13" s="116" t="s">
        <v>188</v>
      </c>
      <c r="B13" s="160"/>
      <c r="C13" s="160"/>
      <c r="D13" s="160"/>
      <c r="E13" s="160"/>
      <c r="F13" s="130"/>
      <c r="G13" s="130"/>
      <c r="H13" s="130"/>
      <c r="I13" s="130"/>
      <c r="J13" s="130"/>
      <c r="K13" s="130"/>
      <c r="L13" s="130"/>
      <c r="M13" s="48">
        <f t="shared" si="0"/>
        <v>0</v>
      </c>
      <c r="N13" s="47"/>
      <c r="O13" s="51"/>
    </row>
    <row r="14" spans="1:35" ht="18">
      <c r="A14" s="116" t="s">
        <v>33</v>
      </c>
      <c r="B14" s="128"/>
      <c r="C14" s="128"/>
      <c r="D14" s="128"/>
      <c r="E14" s="129"/>
      <c r="F14" s="129"/>
      <c r="G14" s="129"/>
      <c r="H14" s="129"/>
      <c r="I14" s="129"/>
      <c r="J14" s="129"/>
      <c r="K14" s="129"/>
      <c r="L14" s="129"/>
      <c r="M14" s="48">
        <f t="shared" si="0"/>
        <v>0</v>
      </c>
      <c r="N14" s="47"/>
      <c r="O14" s="51"/>
    </row>
    <row r="15" spans="1:35" ht="18">
      <c r="A15" s="207" t="s">
        <v>190</v>
      </c>
      <c r="B15" s="150"/>
      <c r="C15" s="150"/>
      <c r="D15" s="150"/>
      <c r="E15" s="133">
        <f>VLOOKUP(E4,'סיכום אמוני סטודיו וקבוצה'!$F$20:$H$28,3,FALSE)</f>
        <v>0</v>
      </c>
      <c r="F15" s="133">
        <f>VLOOKUP(F4,'סיכום אמוני סטודיו וקבוצה'!$F$20:$H$28,3,FALSE)</f>
        <v>0</v>
      </c>
      <c r="G15" s="133">
        <f>VLOOKUP(G4,'סיכום אמוני סטודיו וקבוצה'!$F$20:$H$28,3,FALSE)</f>
        <v>0</v>
      </c>
      <c r="H15" s="133">
        <f>VLOOKUP(H4,'סיכום אמוני סטודיו וקבוצה'!$F$20:$H$28,3,FALSE)</f>
        <v>0</v>
      </c>
      <c r="I15" s="133">
        <f>VLOOKUP(I4,'סיכום אמוני סטודיו וקבוצה'!$F$20:$H$28,3,FALSE)</f>
        <v>0</v>
      </c>
      <c r="J15" s="133">
        <f>VLOOKUP(J4,'סיכום אמוני סטודיו וקבוצה'!$F$20:$H$28,3,FALSE)</f>
        <v>0</v>
      </c>
      <c r="K15" s="133">
        <f>VLOOKUP(K4,'סיכום אמוני סטודיו וקבוצה'!$F$20:$H$28,3,FALSE)</f>
        <v>0</v>
      </c>
      <c r="L15" s="133"/>
      <c r="M15" s="131">
        <f t="shared" ref="M15:M24" si="1">SUMIF(B15:L15,"&gt;0")</f>
        <v>0</v>
      </c>
      <c r="N15" s="47"/>
      <c r="O15" s="51"/>
    </row>
    <row r="16" spans="1:35" ht="18">
      <c r="A16" s="168" t="s">
        <v>191</v>
      </c>
      <c r="B16" s="167"/>
      <c r="C16" s="167"/>
      <c r="D16" s="167"/>
      <c r="E16" s="181">
        <f>VLOOKUP(E4,'סיכום אמוני סטודיו וקבוצה'!$F$20:$G$28,2,FALSE)</f>
        <v>45</v>
      </c>
      <c r="F16" s="181">
        <f>VLOOKUP(F4,'סיכום אמוני סטודיו וקבוצה'!$F$20:$G$28,2,FALSE)</f>
        <v>10</v>
      </c>
      <c r="G16" s="181">
        <f>VLOOKUP(G4,'סיכום אמוני סטודיו וקבוצה'!$F$20:$G$28,2,FALSE)</f>
        <v>3</v>
      </c>
      <c r="H16" s="181">
        <f>VLOOKUP(H4,'סיכום אמוני סטודיו וקבוצה'!$F$20:$G$28,2,FALSE)</f>
        <v>6</v>
      </c>
      <c r="I16" s="181">
        <f>VLOOKUP(I4,'סיכום אמוני סטודיו וקבוצה'!$F$20:$G$28,2,FALSE)</f>
        <v>9</v>
      </c>
      <c r="J16" s="181">
        <f>VLOOKUP(J4,'סיכום אמוני סטודיו וקבוצה'!$F$20:$G$28,2,FALSE)</f>
        <v>7</v>
      </c>
      <c r="K16" s="181">
        <f>VLOOKUP(K4,'סיכום אמוני סטודיו וקבוצה'!$F$20:$G$28,2,FALSE)</f>
        <v>11</v>
      </c>
      <c r="L16" s="181"/>
      <c r="M16" s="131">
        <f t="shared" si="1"/>
        <v>91</v>
      </c>
      <c r="N16" s="47"/>
      <c r="O16" s="51"/>
    </row>
    <row r="17" spans="1:28" ht="18">
      <c r="A17" s="208" t="s">
        <v>235</v>
      </c>
      <c r="B17" s="187"/>
      <c r="C17" s="187"/>
      <c r="D17" s="187"/>
      <c r="E17" s="248">
        <f>VLOOKUP(E4,'סיכום אמוני סטודיו וקבוצה'!$F$20:$I$28,4,FALSE)</f>
        <v>0</v>
      </c>
      <c r="F17" s="248">
        <f>VLOOKUP(F4,'סיכום אמוני סטודיו וקבוצה'!$F$20:$I$28,4,FALSE)</f>
        <v>0</v>
      </c>
      <c r="G17" s="248">
        <f>VLOOKUP(G4,'סיכום אמוני סטודיו וקבוצה'!$F$20:$I$28,4,FALSE)</f>
        <v>0</v>
      </c>
      <c r="H17" s="248">
        <f>VLOOKUP(H4,'סיכום אמוני סטודיו וקבוצה'!$F$20:$I$28,4,FALSE)</f>
        <v>0</v>
      </c>
      <c r="I17" s="248">
        <f>VLOOKUP(I4,'סיכום אמוני סטודיו וקבוצה'!$F$20:$I$28,4,FALSE)</f>
        <v>0</v>
      </c>
      <c r="J17" s="248">
        <f>VLOOKUP(J4,'סיכום אמוני סטודיו וקבוצה'!$F$20:$I$28,4,FALSE)</f>
        <v>0</v>
      </c>
      <c r="K17" s="248">
        <f>VLOOKUP(K4,'סיכום אמוני סטודיו וקבוצה'!$F$20:$I$28,4,FALSE)</f>
        <v>0</v>
      </c>
      <c r="L17" s="248"/>
      <c r="M17" s="131">
        <f t="shared" si="1"/>
        <v>0</v>
      </c>
      <c r="N17" s="47"/>
      <c r="O17" s="51"/>
    </row>
    <row r="18" spans="1:28" ht="18">
      <c r="A18" s="199" t="s">
        <v>247</v>
      </c>
      <c r="B18" s="200"/>
      <c r="C18" s="200"/>
      <c r="D18" s="200"/>
      <c r="E18" s="249">
        <f>VLOOKUP(E4,'סיכום אמוני סטודיו וקבוצה'!$F$20:$J$28,5,FALSE)</f>
        <v>0</v>
      </c>
      <c r="F18" s="249">
        <f>VLOOKUP(F4,'סיכום אמוני סטודיו וקבוצה'!$F$20:$J$28,5,FALSE)</f>
        <v>0</v>
      </c>
      <c r="G18" s="249">
        <f>VLOOKUP(G4,'סיכום אמוני סטודיו וקבוצה'!$F$20:$J$28,5,FALSE)</f>
        <v>0</v>
      </c>
      <c r="H18" s="249">
        <f>VLOOKUP(H4,'סיכום אמוני סטודיו וקבוצה'!$F$20:$J$28,5,FALSE)</f>
        <v>0</v>
      </c>
      <c r="I18" s="249">
        <f>VLOOKUP(I4,'סיכום אמוני סטודיו וקבוצה'!$F$20:$J$28,5,FALSE)</f>
        <v>0</v>
      </c>
      <c r="J18" s="249">
        <f>VLOOKUP(J4,'סיכום אמוני סטודיו וקבוצה'!$F$20:$J$28,5,FALSE)</f>
        <v>0</v>
      </c>
      <c r="K18" s="249">
        <f>VLOOKUP(K4,'סיכום אמוני סטודיו וקבוצה'!$F$20:$J$28,5,FALSE)</f>
        <v>0</v>
      </c>
      <c r="L18" s="249"/>
      <c r="M18" s="131">
        <f t="shared" si="1"/>
        <v>0</v>
      </c>
      <c r="N18" s="47"/>
      <c r="O18" s="51"/>
    </row>
    <row r="19" spans="1:28" ht="18">
      <c r="A19" s="135" t="s">
        <v>196</v>
      </c>
      <c r="B19" s="151"/>
      <c r="C19" s="151"/>
      <c r="D19" s="151"/>
      <c r="E19" s="132">
        <f>VLOOKUP(E4,'סיכום אמוני סטודיו וקבוצה'!$A$20:$D$28,2,FALSE)</f>
        <v>0</v>
      </c>
      <c r="F19" s="132">
        <f>VLOOKUP(F4,'סיכום אמוני סטודיו וקבוצה'!$A$20:$D$28,2,FALSE)</f>
        <v>0</v>
      </c>
      <c r="G19" s="132">
        <f>VLOOKUP(G4,'סיכום אמוני סטודיו וקבוצה'!$A$20:$D$28,2,FALSE)</f>
        <v>0</v>
      </c>
      <c r="H19" s="132">
        <f>VLOOKUP(H4,'סיכום אמוני סטודיו וקבוצה'!$A$20:$D$28,2,FALSE)</f>
        <v>0</v>
      </c>
      <c r="I19" s="132">
        <f>VLOOKUP(I4,'סיכום אמוני סטודיו וקבוצה'!$A$20:$D$28,2,FALSE)</f>
        <v>0</v>
      </c>
      <c r="J19" s="132">
        <f>VLOOKUP(J4,'סיכום אמוני סטודיו וקבוצה'!$A$20:$D$28,2,FALSE)</f>
        <v>0</v>
      </c>
      <c r="K19" s="132">
        <f>VLOOKUP(K4,'סיכום אמוני סטודיו וקבוצה'!$A$20:$D$28,2,FALSE)</f>
        <v>0</v>
      </c>
      <c r="L19" s="132"/>
      <c r="M19" s="131">
        <f t="shared" si="1"/>
        <v>0</v>
      </c>
      <c r="N19" s="242"/>
      <c r="O19" s="51"/>
    </row>
    <row r="20" spans="1:28" ht="18">
      <c r="A20" s="221" t="s">
        <v>257</v>
      </c>
      <c r="B20" s="224"/>
      <c r="C20" s="224"/>
      <c r="D20" s="224"/>
      <c r="E20" s="250">
        <f>VLOOKUP(E4,'סיכום אמוני סטודיו וקבוצה'!$F$20:$L$28,6,FALSE)</f>
        <v>0</v>
      </c>
      <c r="F20" s="250">
        <f>VLOOKUP(F4,'סיכום אמוני סטודיו וקבוצה'!$F$20:$L$28,6,FALSE)</f>
        <v>0</v>
      </c>
      <c r="G20" s="250">
        <f>VLOOKUP(G4,'סיכום אמוני סטודיו וקבוצה'!$F$20:$L$28,6,FALSE)</f>
        <v>0</v>
      </c>
      <c r="H20" s="250">
        <f>VLOOKUP(H4,'סיכום אמוני סטודיו וקבוצה'!$F$20:$L$28,6,FALSE)</f>
        <v>0</v>
      </c>
      <c r="I20" s="250">
        <f>VLOOKUP(I4,'סיכום אמוני סטודיו וקבוצה'!$F$20:$L$28,6,FALSE)</f>
        <v>0</v>
      </c>
      <c r="J20" s="250">
        <f>VLOOKUP(J4,'סיכום אמוני סטודיו וקבוצה'!$F$20:$L$28,6,FALSE)</f>
        <v>0</v>
      </c>
      <c r="K20" s="250">
        <f>VLOOKUP(K4,'סיכום אמוני סטודיו וקבוצה'!$F$20:$L$28,6,FALSE)</f>
        <v>0</v>
      </c>
      <c r="L20" s="250"/>
      <c r="M20" s="131">
        <f t="shared" si="1"/>
        <v>0</v>
      </c>
      <c r="N20" s="242"/>
      <c r="O20" s="51"/>
    </row>
    <row r="21" spans="1:28" ht="18">
      <c r="A21" s="222" t="s">
        <v>258</v>
      </c>
      <c r="B21" s="223"/>
      <c r="C21" s="223"/>
      <c r="D21" s="223"/>
      <c r="E21" s="251">
        <f>VLOOKUP(E4,'סיכום אמוני סטודיו וקבוצה'!$F$20:$L$28,7,FALSE)</f>
        <v>0</v>
      </c>
      <c r="F21" s="251">
        <f>VLOOKUP(F4,'סיכום אמוני סטודיו וקבוצה'!$F$20:$L$28,7,FALSE)</f>
        <v>0</v>
      </c>
      <c r="G21" s="251">
        <f>VLOOKUP(G4,'סיכום אמוני סטודיו וקבוצה'!$F$20:$L$28,7,FALSE)</f>
        <v>0</v>
      </c>
      <c r="H21" s="251">
        <f>VLOOKUP(H4,'סיכום אמוני סטודיו וקבוצה'!$F$20:$L$28,7,FALSE)</f>
        <v>0</v>
      </c>
      <c r="I21" s="251">
        <f>VLOOKUP(I4,'סיכום אמוני סטודיו וקבוצה'!$F$20:$L$28,7,FALSE)</f>
        <v>0</v>
      </c>
      <c r="J21" s="251">
        <f>VLOOKUP(J4,'סיכום אמוני סטודיו וקבוצה'!$F$20:$L$28,7,FALSE)</f>
        <v>0</v>
      </c>
      <c r="K21" s="251">
        <f>VLOOKUP(K4,'סיכום אמוני סטודיו וקבוצה'!$F$20:$L$28,7,FALSE)</f>
        <v>0</v>
      </c>
      <c r="L21" s="251"/>
      <c r="M21" s="131">
        <f t="shared" si="1"/>
        <v>0</v>
      </c>
      <c r="N21" s="242"/>
      <c r="O21" s="51"/>
    </row>
    <row r="22" spans="1:28" ht="18">
      <c r="A22" s="136" t="s">
        <v>221</v>
      </c>
      <c r="B22" s="152"/>
      <c r="C22" s="152"/>
      <c r="D22" s="152"/>
      <c r="E22" s="134">
        <f>VLOOKUP(E4,'סיכום אמוני סטודיו וקבוצה'!$A$20:$D$28,4,FALSE)</f>
        <v>0</v>
      </c>
      <c r="F22" s="134">
        <f>VLOOKUP(F4,'סיכום אמוני סטודיו וקבוצה'!$A$20:$D$28,4,FALSE)</f>
        <v>0</v>
      </c>
      <c r="G22" s="134">
        <f>VLOOKUP(G4,'סיכום אמוני סטודיו וקבוצה'!$A$20:$D$28,4,FALSE)</f>
        <v>0</v>
      </c>
      <c r="H22" s="134">
        <f>VLOOKUP(H4,'סיכום אמוני סטודיו וקבוצה'!$A$20:$D$28,4,FALSE)</f>
        <v>0</v>
      </c>
      <c r="I22" s="134">
        <f>VLOOKUP(I4,'סיכום אמוני סטודיו וקבוצה'!$A$20:$D$28,4,FALSE)</f>
        <v>0</v>
      </c>
      <c r="J22" s="134">
        <f>VLOOKUP(J4,'סיכום אמוני סטודיו וקבוצה'!$A$20:$D$28,4,FALSE)</f>
        <v>0</v>
      </c>
      <c r="K22" s="134">
        <f>VLOOKUP(K4,'סיכום אמוני סטודיו וקבוצה'!$A$20:$D$28,4,FALSE)</f>
        <v>0</v>
      </c>
      <c r="L22" s="134"/>
      <c r="M22" s="131">
        <f t="shared" si="1"/>
        <v>0</v>
      </c>
      <c r="N22" s="242"/>
      <c r="O22" s="51"/>
    </row>
    <row r="23" spans="1:28" ht="18">
      <c r="A23" s="139" t="s">
        <v>220</v>
      </c>
      <c r="B23" s="137"/>
      <c r="C23" s="137"/>
      <c r="D23" s="137"/>
      <c r="E23" s="137">
        <f>VLOOKUP(E4,'סיכום אמוני סטודיו וקבוצה'!$A$20:$D$28,3,FALSE)</f>
        <v>17</v>
      </c>
      <c r="F23" s="137">
        <f>VLOOKUP(F4,'סיכום אמוני סטודיו וקבוצה'!$A$20:$D$28,3,FALSE)</f>
        <v>0</v>
      </c>
      <c r="G23" s="137">
        <f>VLOOKUP(G4,'סיכום אמוני סטודיו וקבוצה'!$A$20:$D$28,3,FALSE)</f>
        <v>0</v>
      </c>
      <c r="H23" s="137">
        <f>VLOOKUP(H4,'סיכום אמוני סטודיו וקבוצה'!$A$20:$D$28,3,FALSE)</f>
        <v>0</v>
      </c>
      <c r="I23" s="137">
        <f>VLOOKUP(I4,'סיכום אמוני סטודיו וקבוצה'!$A$20:$D$28,3,FALSE)</f>
        <v>1</v>
      </c>
      <c r="J23" s="137">
        <f>VLOOKUP(J4,'סיכום אמוני סטודיו וקבוצה'!$A$20:$D$28,3,FALSE)</f>
        <v>6</v>
      </c>
      <c r="K23" s="137">
        <f>VLOOKUP(K4,'סיכום אמוני סטודיו וקבוצה'!$A$20:$D$28,3,FALSE)</f>
        <v>0</v>
      </c>
      <c r="L23" s="137"/>
      <c r="M23" s="131">
        <f t="shared" si="1"/>
        <v>24</v>
      </c>
      <c r="N23" s="243"/>
      <c r="O23" s="51"/>
    </row>
    <row r="24" spans="1:28" ht="18">
      <c r="A24" s="140" t="s">
        <v>202</v>
      </c>
      <c r="B24" s="153"/>
      <c r="C24" s="153"/>
      <c r="D24" s="153"/>
      <c r="E24" s="138">
        <f>VLOOKUP(E4,'סיכום אמוני סטודיו וקבוצה'!$F$20:$P$28,8,FALSE)</f>
        <v>0</v>
      </c>
      <c r="F24" s="138">
        <f>VLOOKUP(F4,'סיכום אמוני סטודיו וקבוצה'!$F$20:$P$28,8,FALSE)</f>
        <v>0</v>
      </c>
      <c r="G24" s="138">
        <f>VLOOKUP(G4,'סיכום אמוני סטודיו וקבוצה'!$F$20:$P$28,8,FALSE)</f>
        <v>0</v>
      </c>
      <c r="H24" s="138">
        <f>VLOOKUP(H4,'סיכום אמוני סטודיו וקבוצה'!$F$20:$P$28,8,FALSE)</f>
        <v>0</v>
      </c>
      <c r="I24" s="138">
        <f>VLOOKUP(I4,'סיכום אמוני סטודיו וקבוצה'!$F$20:$P$28,8,FALSE)</f>
        <v>0</v>
      </c>
      <c r="J24" s="138">
        <f>VLOOKUP(J4,'סיכום אמוני סטודיו וקבוצה'!$F$20:$P$28,8,FALSE)</f>
        <v>0</v>
      </c>
      <c r="K24" s="138">
        <f>VLOOKUP(K4,'סיכום אמוני סטודיו וקבוצה'!$F$20:$P$28,8,FALSE)</f>
        <v>0</v>
      </c>
      <c r="L24" s="138"/>
      <c r="M24" s="131">
        <f t="shared" si="1"/>
        <v>0</v>
      </c>
      <c r="N24" s="243"/>
      <c r="O24" s="51"/>
    </row>
    <row r="25" spans="1:28" ht="18">
      <c r="A25" s="116" t="s">
        <v>208</v>
      </c>
      <c r="B25" s="174"/>
      <c r="C25" s="174"/>
      <c r="D25" s="174"/>
      <c r="E25" s="174">
        <f t="shared" ref="E25:J25" si="2">IF(E5="נציגת קבלה",E7*$L$38,E7*$E$38)+IF(E5="נציגת קבלה",E6*$L$37,E6*$E$37)+IF(E5="נציגת קבלה",E8*$L$39,E8*$E$39)+IF(E5="נציגת קבלה",E9*$L$40,E9*$E$40)+IF(E5="נציגת קבלה",E10*$L$41,E10*$E$41)+E13+E11</f>
        <v>4952.25</v>
      </c>
      <c r="F25" s="174">
        <f t="shared" si="2"/>
        <v>3662.5</v>
      </c>
      <c r="G25" s="174">
        <f t="shared" si="2"/>
        <v>4485.625</v>
      </c>
      <c r="H25" s="174">
        <f t="shared" si="2"/>
        <v>1435</v>
      </c>
      <c r="I25" s="174">
        <f t="shared" si="2"/>
        <v>962.5</v>
      </c>
      <c r="J25" s="174">
        <f t="shared" si="2"/>
        <v>4562.5</v>
      </c>
      <c r="K25" s="174">
        <f t="shared" ref="K25" si="3">IF(K5="נציגת קבלה",K7*$L$38,K7*$E$38)+IF(K5="נציגת קבלה",K6*$L$37,K6*$E$37)+IF(K5="נציגת קבלה",K8*$L$39,K8*$E$39)+IF(K5="נציגת קבלה",K9*$L$40,K9*$E$40)+IF(K5="נציגת קבלה",K10*$L$41,K10*$E$41)+K13+K11</f>
        <v>3453.1875000000005</v>
      </c>
      <c r="L25" s="174"/>
      <c r="M25" s="48"/>
      <c r="N25" s="306">
        <f t="shared" ref="N25:N30" si="4">SUM(B25:L25)</f>
        <v>23513.5625</v>
      </c>
      <c r="O25" s="51"/>
    </row>
    <row r="26" spans="1:28" ht="18">
      <c r="A26" s="116" t="s">
        <v>209</v>
      </c>
      <c r="B26" s="175">
        <f>IF(B5="נציגת קבלה",B7*$L$38,B7*$E$38)+IF(B5="נציגת קבלה",B6*$L$37,B6*$E$37)+IF(B5="נציגת קבלה",B8*$L$39,B8*$E$39)+IF(B5="נציגת קבלה",B9*$L$40,B9*$E$40)+IF(B5="נציגת קבלה",B10*$L$41,B10*$E$41)+B13+B11</f>
        <v>0</v>
      </c>
      <c r="C26" s="175">
        <f>IF(C5="נציגת קבלה",C7*$L$38,C7*$E$38)+IF(C5="נציגת קבלה",C6*$L$37,C6*$E$37)+IF(C5="נציגת קבלה",C8*$L$39,C8*$E$39)+IF(C5="נציגת קבלה",C9*$L$40,C9*$E$40)+IF(C5="נציגת קבלה",C10*$L$41,C10*$E$41)+C13+C11</f>
        <v>4230</v>
      </c>
      <c r="D26" s="175">
        <f>IF(D5="נציגת קבלה",D7*$L$38,D7*$E$38)+IF(D5="נציגת קבלה",D6*$L$37,D6*$E$37)+IF(D5="נציגת קבלה",D8*$L$39,D8*$E$39)+IF(D5="נציגת קבלה",D9*$L$40,D9*$E$40)+IF(D5="נציגת קבלה",D10*$L$41,D10*$E$41)+D13+D11</f>
        <v>4400</v>
      </c>
      <c r="E26" s="175"/>
      <c r="F26" s="175"/>
      <c r="G26" s="175"/>
      <c r="H26" s="175"/>
      <c r="I26" s="175"/>
      <c r="J26" s="175"/>
      <c r="K26" s="175"/>
      <c r="L26" s="175"/>
      <c r="M26" s="48"/>
      <c r="N26" s="306">
        <f t="shared" si="4"/>
        <v>8630</v>
      </c>
      <c r="O26" s="51"/>
    </row>
    <row r="27" spans="1:28" ht="18">
      <c r="A27" s="116" t="s">
        <v>210</v>
      </c>
      <c r="B27" s="161"/>
      <c r="C27" s="161"/>
      <c r="D27" s="161"/>
      <c r="E27" s="174">
        <f t="shared" ref="E27:I27" si="5">E15*$O$38+E16*$O$38+E17*$N$40+E18*$N$40+E20*$R$37+E21*$R$37</f>
        <v>5175</v>
      </c>
      <c r="F27" s="174">
        <f>F15*$O$38+F16*$O$38+F17*$N$40+F18*$N$40+F20*$R$37+F21*$R$37</f>
        <v>1150</v>
      </c>
      <c r="G27" s="174">
        <f t="shared" si="5"/>
        <v>345</v>
      </c>
      <c r="H27" s="174">
        <f t="shared" si="5"/>
        <v>690</v>
      </c>
      <c r="I27" s="174">
        <f t="shared" si="5"/>
        <v>1035</v>
      </c>
      <c r="J27" s="174">
        <f t="shared" ref="J27:K27" si="6">J15*$O$38+J16*$O$38+J17*$N$40+J18*$N$40+J20*$R$37+J21*$R$37</f>
        <v>805</v>
      </c>
      <c r="K27" s="174">
        <f t="shared" si="6"/>
        <v>1265</v>
      </c>
      <c r="L27" s="174"/>
      <c r="M27" s="48"/>
      <c r="N27" s="306">
        <f t="shared" si="4"/>
        <v>10465</v>
      </c>
      <c r="O27" s="51"/>
    </row>
    <row r="28" spans="1:28" ht="18">
      <c r="A28" s="116" t="s">
        <v>211</v>
      </c>
      <c r="B28" s="161"/>
      <c r="C28" s="161"/>
      <c r="D28" s="161"/>
      <c r="E28" s="174">
        <f t="shared" ref="E28:I28" si="7">E19*$P$37</f>
        <v>0</v>
      </c>
      <c r="F28" s="174">
        <f t="shared" si="7"/>
        <v>0</v>
      </c>
      <c r="G28" s="174">
        <f t="shared" si="7"/>
        <v>0</v>
      </c>
      <c r="H28" s="174">
        <f t="shared" si="7"/>
        <v>0</v>
      </c>
      <c r="I28" s="174">
        <f t="shared" si="7"/>
        <v>0</v>
      </c>
      <c r="J28" s="174">
        <f t="shared" ref="J28:K28" si="8">J19*$P$37</f>
        <v>0</v>
      </c>
      <c r="K28" s="174">
        <f t="shared" si="8"/>
        <v>0</v>
      </c>
      <c r="L28" s="174"/>
      <c r="M28" s="48"/>
      <c r="N28" s="306">
        <f t="shared" si="4"/>
        <v>0</v>
      </c>
      <c r="O28" s="51"/>
    </row>
    <row r="29" spans="1:28" ht="18">
      <c r="A29" s="116" t="s">
        <v>212</v>
      </c>
      <c r="B29" s="161"/>
      <c r="C29" s="161"/>
      <c r="D29" s="161"/>
      <c r="E29" s="174">
        <f t="shared" ref="E29:I29" si="9">E22*$N$37+E23*$N$38</f>
        <v>2210</v>
      </c>
      <c r="F29" s="174">
        <f t="shared" si="9"/>
        <v>0</v>
      </c>
      <c r="G29" s="174">
        <f t="shared" si="9"/>
        <v>0</v>
      </c>
      <c r="H29" s="174">
        <f t="shared" si="9"/>
        <v>0</v>
      </c>
      <c r="I29" s="174">
        <f t="shared" si="9"/>
        <v>130</v>
      </c>
      <c r="J29" s="174">
        <f t="shared" ref="J29:K29" si="10">J22*$N$37+J23*$N$38</f>
        <v>780</v>
      </c>
      <c r="K29" s="174">
        <f t="shared" si="10"/>
        <v>0</v>
      </c>
      <c r="L29" s="174"/>
      <c r="M29" s="48"/>
      <c r="N29" s="306">
        <f t="shared" si="4"/>
        <v>3120</v>
      </c>
      <c r="O29" s="51"/>
    </row>
    <row r="30" spans="1:28" ht="17" thickBot="1">
      <c r="A30" s="203" t="s">
        <v>204</v>
      </c>
      <c r="B30" s="161"/>
      <c r="C30" s="161"/>
      <c r="D30" s="161"/>
      <c r="E30" s="174">
        <f t="shared" ref="E30:I30" si="11">E24*$S$37</f>
        <v>0</v>
      </c>
      <c r="F30" s="174">
        <f t="shared" si="11"/>
        <v>0</v>
      </c>
      <c r="G30" s="174">
        <f t="shared" si="11"/>
        <v>0</v>
      </c>
      <c r="H30" s="174">
        <f t="shared" si="11"/>
        <v>0</v>
      </c>
      <c r="I30" s="174">
        <f t="shared" si="11"/>
        <v>0</v>
      </c>
      <c r="J30" s="174">
        <f t="shared" ref="J30:K30" si="12">J24*$S$37</f>
        <v>0</v>
      </c>
      <c r="K30" s="174">
        <f t="shared" si="12"/>
        <v>0</v>
      </c>
      <c r="L30" s="174"/>
      <c r="M30" s="48"/>
      <c r="N30" s="306">
        <f t="shared" si="4"/>
        <v>0</v>
      </c>
      <c r="O30" s="44"/>
    </row>
    <row r="31" spans="1:28" ht="19" thickBot="1">
      <c r="B31" s="279"/>
      <c r="C31" s="279">
        <f>מכירות!N7</f>
        <v>1992.6000000000001</v>
      </c>
      <c r="D31" s="279">
        <f>מכירות!N4</f>
        <v>1614.6000000000001</v>
      </c>
      <c r="E31" s="279">
        <f>מכירות!N8</f>
        <v>54</v>
      </c>
      <c r="F31" s="279"/>
      <c r="G31" s="279"/>
      <c r="H31" s="279">
        <f>מכירות!N6</f>
        <v>194.4</v>
      </c>
      <c r="I31" s="279">
        <f>מכירות!N5</f>
        <v>64.800000000000011</v>
      </c>
      <c r="J31" s="279">
        <f>מכירות!N9</f>
        <v>81</v>
      </c>
      <c r="L31" s="254"/>
      <c r="M31" s="280"/>
      <c r="N31" s="245"/>
      <c r="O31" s="44"/>
      <c r="P31" s="44"/>
      <c r="Q31" s="51"/>
    </row>
    <row r="32" spans="1:28" ht="18">
      <c r="A32" s="82" t="s">
        <v>32</v>
      </c>
      <c r="B32" s="261"/>
      <c r="E32" s="261">
        <f>-SUM(E15+E17)*$E$37</f>
        <v>0</v>
      </c>
      <c r="F32" s="261">
        <f t="shared" ref="F32:I32" si="13">-SUM(F15+F17)*$E$37</f>
        <v>0</v>
      </c>
      <c r="G32" s="261">
        <f>-SUM(G15+G17)*$E$37</f>
        <v>0</v>
      </c>
      <c r="H32" s="261">
        <f t="shared" si="13"/>
        <v>0</v>
      </c>
      <c r="I32" s="261">
        <f t="shared" si="13"/>
        <v>0</v>
      </c>
      <c r="J32" s="261">
        <f t="shared" ref="J32:K32" si="14">-SUM(J15+J17)*$E$37</f>
        <v>0</v>
      </c>
      <c r="K32" s="261">
        <f t="shared" si="14"/>
        <v>0</v>
      </c>
      <c r="L32" s="261"/>
      <c r="M32" s="261"/>
      <c r="N32" s="238">
        <f>SUM(E32:L32)</f>
        <v>0</v>
      </c>
      <c r="O32" s="44"/>
      <c r="P32" s="44"/>
      <c r="Q32" s="44"/>
      <c r="R32" s="51"/>
      <c r="S32" s="44"/>
      <c r="T32" s="44"/>
      <c r="U32" s="44"/>
      <c r="V32" s="44"/>
      <c r="W32" s="44"/>
      <c r="X32" s="44"/>
      <c r="Y32" s="44"/>
      <c r="Z32" s="44"/>
      <c r="AA32" s="44"/>
      <c r="AB32" s="44"/>
    </row>
    <row r="33" spans="1:34" ht="17" thickBot="1">
      <c r="A33" s="83">
        <f>M11</f>
        <v>1068.5</v>
      </c>
      <c r="B33" s="255"/>
      <c r="E33" s="255"/>
      <c r="F33" s="255"/>
      <c r="G33" s="255"/>
      <c r="H33" s="255"/>
      <c r="I33" s="255"/>
      <c r="J33" s="255"/>
      <c r="K33" s="255"/>
      <c r="L33" s="255"/>
      <c r="M33" s="113"/>
      <c r="N33" s="113"/>
      <c r="O33" s="44"/>
      <c r="P33" s="44"/>
      <c r="Q33" s="44"/>
      <c r="R33" s="44"/>
      <c r="S33" s="44"/>
      <c r="U33" s="44"/>
      <c r="V33" s="44"/>
      <c r="W33" s="44"/>
      <c r="X33" s="44"/>
      <c r="Y33" s="44"/>
      <c r="Z33" s="44"/>
      <c r="AA33" s="44"/>
      <c r="AB33" s="44"/>
      <c r="AC33" s="44"/>
      <c r="AD33" s="44"/>
    </row>
    <row r="34" spans="1:34" ht="16">
      <c r="A34" s="236"/>
      <c r="B34" s="256">
        <f>SUM(B25:B33)</f>
        <v>0</v>
      </c>
      <c r="C34" s="256">
        <f>SUM(C25:C33)</f>
        <v>6222.6</v>
      </c>
      <c r="D34" s="256">
        <f>SUM(D25:D33)</f>
        <v>6014.6</v>
      </c>
      <c r="E34" s="256">
        <f>SUM(E25:E33)</f>
        <v>12391.25</v>
      </c>
      <c r="F34" s="256">
        <f t="shared" ref="F34:K34" si="15">SUM(F25:F33)</f>
        <v>4812.5</v>
      </c>
      <c r="G34" s="256">
        <f t="shared" si="15"/>
        <v>4830.625</v>
      </c>
      <c r="H34" s="256">
        <f t="shared" si="15"/>
        <v>2319.4</v>
      </c>
      <c r="I34" s="256">
        <f t="shared" si="15"/>
        <v>2192.3000000000002</v>
      </c>
      <c r="J34" s="256">
        <f t="shared" si="15"/>
        <v>6228.5</v>
      </c>
      <c r="K34" s="256">
        <f t="shared" si="15"/>
        <v>4718.1875</v>
      </c>
      <c r="L34" s="256"/>
      <c r="M34" s="256"/>
      <c r="N34" s="253"/>
      <c r="O34" s="44"/>
      <c r="P34" s="44"/>
      <c r="Q34" s="44"/>
      <c r="R34" s="44"/>
      <c r="S34" s="44"/>
      <c r="U34" s="44"/>
      <c r="V34" s="44"/>
      <c r="W34" s="44"/>
      <c r="X34" s="44"/>
      <c r="Y34" s="44"/>
      <c r="Z34" s="44"/>
      <c r="AA34" s="44"/>
      <c r="AB34" s="44"/>
      <c r="AC34" s="44"/>
      <c r="AD34" s="44"/>
    </row>
    <row r="35" spans="1:34" ht="17" thickBot="1">
      <c r="A35" s="236"/>
      <c r="B35" s="253"/>
      <c r="E35" s="253"/>
      <c r="F35" s="253"/>
      <c r="G35" s="253"/>
      <c r="H35" s="253"/>
      <c r="I35" s="253"/>
      <c r="J35" s="253"/>
      <c r="K35" s="253"/>
      <c r="L35" s="253">
        <f>K34+D34</f>
        <v>10732.7875</v>
      </c>
      <c r="M35" s="237"/>
      <c r="O35" s="44"/>
      <c r="P35" s="44"/>
      <c r="Q35" s="44"/>
      <c r="R35" s="44"/>
      <c r="S35" s="44"/>
      <c r="T35" s="44"/>
      <c r="U35" s="44"/>
      <c r="V35" s="44"/>
      <c r="W35" s="44"/>
      <c r="Y35" s="44"/>
      <c r="Z35" s="44"/>
      <c r="AA35" s="44"/>
      <c r="AB35" s="44"/>
      <c r="AC35" s="44"/>
      <c r="AD35" s="44"/>
      <c r="AE35" s="44"/>
      <c r="AF35" s="44"/>
      <c r="AG35" s="44"/>
      <c r="AH35" s="44"/>
    </row>
    <row r="36" spans="1:34" ht="33" thickBot="1">
      <c r="A36" s="63" t="s">
        <v>43</v>
      </c>
      <c r="B36" s="64" t="s">
        <v>34</v>
      </c>
      <c r="C36" s="64" t="s">
        <v>169</v>
      </c>
      <c r="D36" s="64" t="s">
        <v>36</v>
      </c>
      <c r="E36" s="65" t="s">
        <v>37</v>
      </c>
      <c r="F36" s="241"/>
      <c r="G36" s="66" t="s">
        <v>42</v>
      </c>
      <c r="H36" s="67" t="s">
        <v>34</v>
      </c>
      <c r="I36" s="67"/>
      <c r="J36" s="67" t="s">
        <v>35</v>
      </c>
      <c r="K36" s="67" t="s">
        <v>36</v>
      </c>
      <c r="L36" s="68" t="s">
        <v>37</v>
      </c>
      <c r="M36" s="46"/>
      <c r="N36" s="141" t="s">
        <v>19</v>
      </c>
      <c r="O36" s="141" t="s">
        <v>180</v>
      </c>
      <c r="P36" s="141" t="s">
        <v>273</v>
      </c>
      <c r="Q36" s="141" t="s">
        <v>250</v>
      </c>
      <c r="R36" s="141" t="s">
        <v>266</v>
      </c>
      <c r="S36" s="141" t="s">
        <v>203</v>
      </c>
      <c r="T36" s="46"/>
      <c r="U36" s="44"/>
      <c r="V36" s="44"/>
      <c r="W36" s="44"/>
      <c r="X36" s="44"/>
      <c r="Y36" s="44"/>
      <c r="Z36" s="44"/>
      <c r="AA36" s="44"/>
      <c r="AB36" s="44"/>
      <c r="AC36" s="44"/>
    </row>
    <row r="37" spans="1:34" ht="17" thickBot="1">
      <c r="A37" s="59">
        <v>1</v>
      </c>
      <c r="B37" s="60">
        <v>40</v>
      </c>
      <c r="C37" s="60">
        <f>B37*1.3</f>
        <v>52</v>
      </c>
      <c r="D37" s="62">
        <f>C37</f>
        <v>52</v>
      </c>
      <c r="E37" s="94">
        <v>75</v>
      </c>
      <c r="F37" s="46"/>
      <c r="G37" s="59">
        <v>1</v>
      </c>
      <c r="H37" s="60">
        <v>40</v>
      </c>
      <c r="I37" s="313"/>
      <c r="J37" s="61">
        <f>H37*1.3</f>
        <v>52</v>
      </c>
      <c r="K37" s="62">
        <f>+J37</f>
        <v>52</v>
      </c>
      <c r="L37" s="94">
        <v>70</v>
      </c>
      <c r="M37" s="46"/>
      <c r="N37" s="209">
        <v>55</v>
      </c>
      <c r="O37" s="209">
        <v>40</v>
      </c>
      <c r="P37" s="212">
        <v>180</v>
      </c>
      <c r="Q37" s="212">
        <v>185</v>
      </c>
      <c r="R37" s="212">
        <v>150</v>
      </c>
      <c r="S37" s="212">
        <v>250</v>
      </c>
      <c r="T37" s="46"/>
      <c r="U37" s="44"/>
      <c r="V37" s="44"/>
      <c r="W37" s="44"/>
      <c r="X37" s="44"/>
      <c r="Y37" s="44"/>
      <c r="Z37" s="44"/>
      <c r="AA37" s="44"/>
      <c r="AB37" s="44"/>
      <c r="AC37" s="44"/>
    </row>
    <row r="38" spans="1:34" ht="17" thickBot="1">
      <c r="A38" s="52">
        <v>1.25</v>
      </c>
      <c r="B38" s="53">
        <f>$B$37*A38</f>
        <v>50</v>
      </c>
      <c r="C38" s="53">
        <f>B38*1.33</f>
        <v>66.5</v>
      </c>
      <c r="D38" s="55">
        <f>+C38</f>
        <v>66.5</v>
      </c>
      <c r="E38" s="56">
        <f>$E$37*0.25</f>
        <v>18.75</v>
      </c>
      <c r="F38" s="46"/>
      <c r="G38" s="52">
        <v>1.25</v>
      </c>
      <c r="H38" s="53">
        <f>H37*G38</f>
        <v>50</v>
      </c>
      <c r="I38" s="314"/>
      <c r="J38" s="54">
        <f>H38*1.33</f>
        <v>66.5</v>
      </c>
      <c r="K38" s="55">
        <f>+J38</f>
        <v>66.5</v>
      </c>
      <c r="L38" s="56">
        <f>$L$37*0.25</f>
        <v>17.5</v>
      </c>
      <c r="M38" s="46"/>
      <c r="N38" s="210">
        <v>130</v>
      </c>
      <c r="O38" s="211">
        <v>115</v>
      </c>
      <c r="P38" s="213"/>
      <c r="R38" s="214"/>
      <c r="S38" s="214"/>
      <c r="T38" s="46"/>
      <c r="U38" s="44"/>
      <c r="V38" s="44"/>
      <c r="W38" s="44"/>
      <c r="X38" s="44"/>
      <c r="Y38" s="44"/>
      <c r="Z38" s="44"/>
      <c r="AA38" s="44"/>
      <c r="AB38" s="44"/>
      <c r="AC38" s="44"/>
    </row>
    <row r="39" spans="1:34" ht="17" thickBot="1">
      <c r="A39" s="52">
        <v>1.5</v>
      </c>
      <c r="B39" s="53">
        <f>$B$37*A39</f>
        <v>60</v>
      </c>
      <c r="C39" s="53">
        <f>B39*1.33</f>
        <v>79.800000000000011</v>
      </c>
      <c r="D39" s="55">
        <f>+C39</f>
        <v>79.800000000000011</v>
      </c>
      <c r="E39" s="56">
        <f>$E$37*0.5</f>
        <v>37.5</v>
      </c>
      <c r="F39" s="46"/>
      <c r="G39" s="52">
        <v>1.5</v>
      </c>
      <c r="H39" s="53">
        <f>H37*G39</f>
        <v>60</v>
      </c>
      <c r="I39" s="314"/>
      <c r="J39" s="54">
        <f>H39*1.33</f>
        <v>79.800000000000011</v>
      </c>
      <c r="K39" s="55">
        <f>+J39</f>
        <v>79.800000000000011</v>
      </c>
      <c r="L39" s="56">
        <f>$L$37*0.5</f>
        <v>35</v>
      </c>
      <c r="M39" s="46"/>
      <c r="N39" s="355" t="s">
        <v>193</v>
      </c>
      <c r="O39" s="356"/>
      <c r="P39" s="213"/>
      <c r="R39" s="215"/>
      <c r="S39" s="215"/>
      <c r="U39" s="46"/>
      <c r="V39" s="46"/>
      <c r="W39" s="46"/>
      <c r="X39" s="46"/>
      <c r="Y39" s="44"/>
      <c r="Z39" s="44"/>
      <c r="AA39" s="44"/>
      <c r="AB39" s="44"/>
    </row>
    <row r="40" spans="1:34" ht="17" thickBot="1">
      <c r="A40" s="52">
        <v>1.75</v>
      </c>
      <c r="B40" s="53">
        <f>$B$37*A40</f>
        <v>70</v>
      </c>
      <c r="C40" s="53">
        <f>B40*1.33</f>
        <v>93.100000000000009</v>
      </c>
      <c r="D40" s="55">
        <f>+C40</f>
        <v>93.100000000000009</v>
      </c>
      <c r="E40" s="56">
        <f>$E$37*0.75</f>
        <v>56.25</v>
      </c>
      <c r="F40" s="46"/>
      <c r="G40" s="52">
        <v>1.75</v>
      </c>
      <c r="H40" s="53">
        <f>H37*G40</f>
        <v>70</v>
      </c>
      <c r="I40" s="314"/>
      <c r="J40" s="54">
        <f>H40*1.33</f>
        <v>93.100000000000009</v>
      </c>
      <c r="K40" s="55">
        <f>+J40</f>
        <v>93.100000000000009</v>
      </c>
      <c r="L40" s="56">
        <f>$L$37*0.75</f>
        <v>52.5</v>
      </c>
      <c r="M40" s="46"/>
      <c r="N40" s="212">
        <v>150</v>
      </c>
      <c r="O40" s="213"/>
      <c r="P40" s="213"/>
      <c r="Q40" s="213"/>
      <c r="R40" s="213"/>
      <c r="S40" s="213"/>
      <c r="T40" s="46"/>
      <c r="U40" s="46"/>
      <c r="V40" s="46"/>
      <c r="W40" s="46"/>
      <c r="X40" s="46"/>
      <c r="Y40" s="44"/>
      <c r="Z40" s="44"/>
      <c r="AA40" s="44"/>
      <c r="AB40" s="44"/>
    </row>
    <row r="41" spans="1:34" ht="17" thickBot="1">
      <c r="A41" s="52">
        <v>2</v>
      </c>
      <c r="B41" s="53">
        <f>$B$37*A41</f>
        <v>80</v>
      </c>
      <c r="C41" s="53">
        <f>B41*1.33</f>
        <v>106.4</v>
      </c>
      <c r="D41" s="55">
        <f>+C41</f>
        <v>106.4</v>
      </c>
      <c r="E41" s="56">
        <f>$E$37*1</f>
        <v>75</v>
      </c>
      <c r="F41" s="46"/>
      <c r="G41" s="52">
        <v>2</v>
      </c>
      <c r="H41" s="53">
        <f>H37*G41</f>
        <v>80</v>
      </c>
      <c r="I41" s="314"/>
      <c r="J41" s="54">
        <f>H41*1.33</f>
        <v>106.4</v>
      </c>
      <c r="K41" s="55">
        <f>+J41</f>
        <v>106.4</v>
      </c>
      <c r="L41" s="56">
        <f>$L$37*1</f>
        <v>70</v>
      </c>
      <c r="M41" s="46"/>
      <c r="T41" s="46"/>
      <c r="U41" s="46"/>
      <c r="V41" s="46"/>
      <c r="W41" s="46"/>
      <c r="X41" s="46"/>
      <c r="Y41" s="44"/>
      <c r="Z41" s="44"/>
      <c r="AA41" s="44"/>
      <c r="AB41" s="44"/>
    </row>
    <row r="42" spans="1:34">
      <c r="A42" s="44"/>
      <c r="B42" s="44"/>
      <c r="C42" s="44"/>
      <c r="D42" s="44"/>
      <c r="E42" s="44"/>
      <c r="F42" s="46"/>
      <c r="G42" s="46"/>
      <c r="H42" s="46"/>
      <c r="I42" s="46"/>
      <c r="J42" s="46"/>
      <c r="K42" s="46"/>
      <c r="L42" s="46"/>
      <c r="M42" s="46"/>
      <c r="T42" s="46"/>
      <c r="U42" s="46"/>
      <c r="V42" s="46"/>
      <c r="W42" s="46"/>
      <c r="X42" s="46"/>
      <c r="Y42" s="46"/>
      <c r="Z42" s="46"/>
      <c r="AA42" s="44"/>
      <c r="AB42" s="44"/>
      <c r="AC42" s="44"/>
      <c r="AD42" s="44"/>
    </row>
    <row r="43" spans="1:34">
      <c r="A43" s="57"/>
      <c r="B43" s="57"/>
      <c r="C43" s="57"/>
      <c r="D43" s="119"/>
      <c r="E43" s="119"/>
      <c r="F43" s="119"/>
      <c r="G43" s="119"/>
      <c r="H43" s="44"/>
      <c r="I43" s="44"/>
      <c r="J43" s="44"/>
      <c r="K43" s="44"/>
      <c r="L43" s="44"/>
      <c r="M43" s="44"/>
      <c r="N43" s="244">
        <v>95</v>
      </c>
      <c r="O43" s="244">
        <v>95</v>
      </c>
      <c r="P43" s="244">
        <v>130</v>
      </c>
      <c r="Q43" s="244">
        <v>130</v>
      </c>
      <c r="R43" s="244">
        <v>130</v>
      </c>
      <c r="S43" s="146" t="s">
        <v>206</v>
      </c>
      <c r="T43" s="44"/>
      <c r="U43" s="44"/>
      <c r="V43" s="44"/>
      <c r="W43" s="44"/>
      <c r="X43" s="44"/>
      <c r="Y43" s="44"/>
      <c r="Z43" s="44"/>
      <c r="AA43" s="44"/>
      <c r="AB43" s="44"/>
      <c r="AC43" s="44"/>
      <c r="AD43" s="44"/>
      <c r="AE43" s="44"/>
    </row>
    <row r="44" spans="1:34" ht="16" thickBot="1">
      <c r="A44" s="58"/>
      <c r="B44" s="44"/>
      <c r="C44" s="44"/>
      <c r="D44" s="44"/>
      <c r="E44" s="113"/>
      <c r="F44" s="44"/>
      <c r="G44" s="44"/>
      <c r="H44" s="44"/>
      <c r="I44" s="44"/>
      <c r="J44" s="44"/>
      <c r="K44" s="44"/>
      <c r="L44" s="44"/>
      <c r="M44" s="44"/>
      <c r="N44" s="46">
        <f>N43*1.3</f>
        <v>123.5</v>
      </c>
      <c r="O44" s="46">
        <f>O43*1.3</f>
        <v>123.5</v>
      </c>
      <c r="P44" s="46">
        <f>P43*1.3</f>
        <v>169</v>
      </c>
      <c r="Q44" s="46">
        <f>Q43*1.3</f>
        <v>169</v>
      </c>
      <c r="R44" s="46">
        <f>R43*1.3</f>
        <v>169</v>
      </c>
      <c r="S44" s="46" t="s">
        <v>207</v>
      </c>
      <c r="T44" s="44"/>
      <c r="U44" s="44"/>
      <c r="V44" s="44"/>
      <c r="W44" s="44"/>
      <c r="X44" s="44"/>
      <c r="Y44" s="44"/>
      <c r="Z44" s="44"/>
      <c r="AA44" s="44"/>
      <c r="AB44" s="44"/>
      <c r="AC44" s="44"/>
      <c r="AD44" s="44"/>
    </row>
    <row r="45" spans="1:34" ht="16" thickBot="1">
      <c r="A45" s="85" t="s">
        <v>38</v>
      </c>
      <c r="B45" s="86">
        <v>0</v>
      </c>
      <c r="C45" s="86"/>
      <c r="D45" s="304"/>
      <c r="E45" s="44"/>
      <c r="F45" s="44"/>
      <c r="G45" s="44"/>
      <c r="H45" s="44"/>
      <c r="I45" s="44"/>
      <c r="J45" s="44"/>
      <c r="K45" s="44"/>
      <c r="L45" s="44"/>
      <c r="M45" s="44"/>
      <c r="N45" s="44"/>
      <c r="O45" s="244">
        <v>130</v>
      </c>
      <c r="P45" s="44"/>
      <c r="Q45" s="44"/>
      <c r="R45" s="44"/>
      <c r="S45" s="44"/>
      <c r="T45" s="44"/>
      <c r="U45" s="44"/>
      <c r="V45" s="46"/>
      <c r="W45" s="44"/>
      <c r="X45" s="44"/>
      <c r="Y45" s="44"/>
      <c r="Z45" s="44"/>
      <c r="AA45" s="44"/>
      <c r="AB45" s="44"/>
      <c r="AC45" s="44"/>
      <c r="AD45" s="44"/>
    </row>
    <row r="46" spans="1:34" ht="15.75" customHeight="1" thickBot="1">
      <c r="A46" s="87"/>
      <c r="B46" s="93" t="s">
        <v>156</v>
      </c>
      <c r="C46" s="93" t="s">
        <v>157</v>
      </c>
      <c r="D46" s="305" t="s">
        <v>158</v>
      </c>
      <c r="E46" s="44"/>
      <c r="G46" s="357" t="s">
        <v>39</v>
      </c>
      <c r="H46" s="358"/>
      <c r="I46" s="358"/>
      <c r="J46" s="358"/>
      <c r="K46" s="359"/>
      <c r="M46" s="46"/>
      <c r="N46" s="46"/>
      <c r="O46" s="46">
        <f>O45*1.3</f>
        <v>169</v>
      </c>
      <c r="Q46" s="44"/>
      <c r="R46" s="44"/>
      <c r="S46" s="44"/>
      <c r="T46" s="148"/>
      <c r="U46" s="46"/>
      <c r="V46" s="46"/>
      <c r="W46" s="46"/>
      <c r="X46" s="46"/>
      <c r="Y46" s="44"/>
      <c r="Z46" s="44"/>
      <c r="AA46" s="44"/>
      <c r="AB46" s="44"/>
      <c r="AC46" s="44"/>
      <c r="AD46" s="44"/>
      <c r="AE46" s="44"/>
      <c r="AF46" s="44"/>
    </row>
    <row r="47" spans="1:34" ht="24.75" customHeight="1">
      <c r="A47" s="88"/>
      <c r="B47" s="166">
        <v>22620</v>
      </c>
      <c r="C47" s="271" t="s">
        <v>159</v>
      </c>
      <c r="D47" s="302">
        <f ca="1">SUMIF($B$5:$L$30,$B$67,$B$26:$L$26)</f>
        <v>8630</v>
      </c>
      <c r="E47" s="46"/>
      <c r="G47" s="154" t="s">
        <v>200</v>
      </c>
      <c r="H47" s="155"/>
      <c r="I47" s="155"/>
      <c r="J47" s="156">
        <v>531.1</v>
      </c>
      <c r="K47" s="157"/>
      <c r="M47" s="46"/>
      <c r="N47" s="46"/>
      <c r="O47" s="44"/>
      <c r="P47" s="44"/>
      <c r="Q47" s="44"/>
      <c r="R47" s="44"/>
      <c r="S47" s="44"/>
      <c r="T47" s="46"/>
      <c r="U47" s="46"/>
      <c r="V47" s="46"/>
      <c r="W47" s="46"/>
      <c r="X47" s="46"/>
      <c r="Y47" s="46"/>
      <c r="Z47" s="46"/>
      <c r="AA47" s="46"/>
      <c r="AB47" s="46"/>
      <c r="AC47" s="46"/>
      <c r="AD47" s="46"/>
      <c r="AE47" s="46"/>
    </row>
    <row r="48" spans="1:34" ht="28.5" customHeight="1">
      <c r="B48" s="166">
        <v>22604</v>
      </c>
      <c r="C48" s="271" t="s">
        <v>213</v>
      </c>
      <c r="D48" s="302">
        <f>N25</f>
        <v>23513.5625</v>
      </c>
      <c r="E48" s="46"/>
      <c r="G48" s="120" t="s">
        <v>40</v>
      </c>
      <c r="H48" s="145"/>
      <c r="I48" s="145"/>
      <c r="J48" s="252">
        <f>'סיכום אמוני סטודיו וקבוצה'!P36+'סיכום אמוני סטודיו וקבוצה'!Q36</f>
        <v>415.35</v>
      </c>
      <c r="K48" s="202"/>
      <c r="M48" s="121"/>
      <c r="N48" s="46"/>
      <c r="O48" s="46"/>
      <c r="P48" s="46"/>
      <c r="Q48" s="46"/>
      <c r="R48" s="46"/>
      <c r="S48" s="46"/>
      <c r="T48" s="46"/>
      <c r="U48" s="46"/>
      <c r="V48" s="46"/>
      <c r="W48" s="46"/>
      <c r="X48" s="46"/>
      <c r="Y48" s="46"/>
      <c r="Z48" s="46"/>
      <c r="AA48" s="46"/>
      <c r="AB48" s="46"/>
      <c r="AC48" s="46"/>
      <c r="AD48" s="46"/>
      <c r="AE48" s="46"/>
      <c r="AF48" s="46"/>
    </row>
    <row r="49" spans="1:32" ht="24.75" customHeight="1">
      <c r="A49" s="88"/>
      <c r="B49" s="166">
        <v>22660</v>
      </c>
      <c r="C49" s="271" t="s">
        <v>181</v>
      </c>
      <c r="D49" s="302">
        <f>N29</f>
        <v>3120</v>
      </c>
      <c r="E49" s="46"/>
      <c r="G49" s="120" t="s">
        <v>197</v>
      </c>
      <c r="H49" s="164"/>
      <c r="I49" s="164"/>
      <c r="J49" s="252">
        <f>'סיכום אמוני סטודיו וקבוצה'!B36</f>
        <v>0</v>
      </c>
      <c r="K49" s="202"/>
      <c r="M49" s="121"/>
      <c r="N49" s="46"/>
      <c r="O49" s="46"/>
      <c r="P49" s="46"/>
      <c r="Q49" s="46"/>
      <c r="R49" s="46"/>
      <c r="S49" s="149"/>
      <c r="T49" s="46"/>
      <c r="U49" s="46"/>
      <c r="V49" s="46"/>
      <c r="W49" s="46"/>
      <c r="X49" s="46"/>
      <c r="Y49" s="46"/>
      <c r="Z49" s="46"/>
      <c r="AA49" s="46"/>
      <c r="AB49" s="46"/>
      <c r="AC49" s="46"/>
      <c r="AD49" s="46"/>
      <c r="AE49" s="46"/>
      <c r="AF49" s="46"/>
    </row>
    <row r="50" spans="1:32" ht="24.75" customHeight="1">
      <c r="A50" s="88"/>
      <c r="B50" s="166">
        <v>22650</v>
      </c>
      <c r="C50" s="271" t="s">
        <v>18</v>
      </c>
      <c r="D50" s="302">
        <f>SUM(M15+M16)*O38</f>
        <v>10465</v>
      </c>
      <c r="E50" s="46"/>
      <c r="G50" s="120" t="s">
        <v>275</v>
      </c>
      <c r="H50" s="164"/>
      <c r="I50" s="164"/>
      <c r="J50" s="252">
        <f>'סיכום אמוני סטודיו וקבוצה'!F36</f>
        <v>24</v>
      </c>
      <c r="K50" s="202"/>
      <c r="M50" s="46"/>
      <c r="N50" s="46"/>
      <c r="O50" s="46"/>
      <c r="P50" s="46"/>
      <c r="Q50" s="46"/>
      <c r="R50" s="46"/>
      <c r="S50" s="149"/>
      <c r="T50" s="46"/>
      <c r="U50" s="46"/>
      <c r="V50" s="46"/>
      <c r="W50" s="46"/>
      <c r="X50" s="46"/>
      <c r="Y50" s="46"/>
      <c r="Z50" s="46"/>
      <c r="AA50" s="46"/>
      <c r="AB50" s="46"/>
      <c r="AC50" s="46"/>
      <c r="AD50" s="46"/>
      <c r="AE50" s="46"/>
      <c r="AF50" s="46"/>
    </row>
    <row r="51" spans="1:32" ht="24.75" customHeight="1">
      <c r="A51" s="88"/>
      <c r="B51" s="166">
        <v>22650</v>
      </c>
      <c r="C51" s="271" t="s">
        <v>267</v>
      </c>
      <c r="D51" s="302">
        <f>SUM(M17+M18)*'דוח מרכז לאישור מנהל'!$R$37</f>
        <v>0</v>
      </c>
      <c r="E51" s="46"/>
      <c r="G51" s="120" t="s">
        <v>283</v>
      </c>
      <c r="H51" s="164"/>
      <c r="I51" s="164"/>
      <c r="J51" s="252"/>
      <c r="K51" s="202"/>
      <c r="M51" s="46"/>
      <c r="N51" s="46"/>
      <c r="O51" s="46"/>
      <c r="P51" s="46"/>
      <c r="Q51" s="46"/>
      <c r="R51" s="46"/>
      <c r="S51" s="149"/>
      <c r="T51" s="46"/>
      <c r="U51" s="46"/>
      <c r="V51" s="46"/>
      <c r="W51" s="46"/>
      <c r="X51" s="46"/>
      <c r="Y51" s="46"/>
      <c r="Z51" s="46"/>
      <c r="AA51" s="46"/>
      <c r="AB51" s="46"/>
      <c r="AC51" s="46"/>
      <c r="AD51" s="46"/>
      <c r="AE51" s="46"/>
      <c r="AF51" s="46"/>
    </row>
    <row r="52" spans="1:32" ht="24.75" customHeight="1">
      <c r="A52" s="88"/>
      <c r="B52" s="166">
        <v>22653</v>
      </c>
      <c r="C52" s="271" t="s">
        <v>201</v>
      </c>
      <c r="D52" s="302">
        <f>N28</f>
        <v>0</v>
      </c>
      <c r="G52" s="120" t="s">
        <v>276</v>
      </c>
      <c r="H52" s="164" t="s">
        <v>214</v>
      </c>
      <c r="I52" s="164"/>
      <c r="J52" s="252"/>
      <c r="K52" s="202">
        <f>'סיכום אמוני סטודיו וקבוצה'!E36</f>
        <v>0</v>
      </c>
      <c r="N52" s="46"/>
      <c r="P52" s="46"/>
      <c r="Q52" s="46"/>
      <c r="R52" s="46"/>
      <c r="S52" s="149"/>
      <c r="T52" s="46"/>
      <c r="U52" s="46"/>
      <c r="V52" s="46"/>
      <c r="W52" s="46"/>
      <c r="X52" s="46"/>
      <c r="Y52" s="46"/>
      <c r="Z52" s="46"/>
      <c r="AA52" s="46"/>
      <c r="AB52" s="46"/>
      <c r="AC52" s="46"/>
      <c r="AD52" s="46"/>
      <c r="AE52" s="46"/>
      <c r="AF52" s="46"/>
    </row>
    <row r="53" spans="1:32" ht="24.75" customHeight="1">
      <c r="A53" s="88"/>
      <c r="B53" s="166">
        <v>22653</v>
      </c>
      <c r="C53" s="271" t="s">
        <v>261</v>
      </c>
      <c r="D53" s="303">
        <f>SUM('סיכום אמוני סטודיו וקבוצה'!B3:B19)*'דוח מרכז לאישור מנהל'!P37</f>
        <v>22140</v>
      </c>
      <c r="E53" s="114"/>
      <c r="G53" s="120" t="s">
        <v>198</v>
      </c>
      <c r="H53" s="164" t="s">
        <v>214</v>
      </c>
      <c r="I53" s="164"/>
      <c r="J53" s="252"/>
      <c r="K53" s="202">
        <f>'סיכום אמוני סטודיו וקבוצה'!J36</f>
        <v>0</v>
      </c>
      <c r="M53" s="46"/>
      <c r="N53" s="46"/>
      <c r="O53" s="46"/>
      <c r="P53" s="46"/>
      <c r="Q53" s="46"/>
      <c r="R53" s="46"/>
      <c r="S53" s="149"/>
      <c r="T53" s="46"/>
      <c r="U53" s="46"/>
      <c r="V53" s="46"/>
      <c r="W53" s="46"/>
      <c r="X53" s="46"/>
      <c r="Y53" s="46"/>
      <c r="Z53" s="46"/>
      <c r="AA53" s="46"/>
      <c r="AB53" s="46"/>
      <c r="AC53" s="46"/>
      <c r="AD53" s="46"/>
      <c r="AE53" s="46"/>
      <c r="AF53" s="46"/>
    </row>
    <row r="54" spans="1:32" ht="31.5" customHeight="1">
      <c r="A54" s="88"/>
      <c r="B54" s="166">
        <v>22650</v>
      </c>
      <c r="C54" s="271" t="s">
        <v>262</v>
      </c>
      <c r="D54" s="303">
        <f>SUM('סיכום אמוני סטודיו וקבוצה'!G3:L19)*'דוח מרכז לאישור מנהל'!O38</f>
        <v>19435</v>
      </c>
      <c r="E54" s="162"/>
      <c r="G54" s="120" t="s">
        <v>248</v>
      </c>
      <c r="H54" s="164" t="s">
        <v>214</v>
      </c>
      <c r="I54" s="164"/>
      <c r="J54" s="252"/>
      <c r="K54" s="202">
        <f>'סיכום אמוני סטודיו וקבוצה'!K36</f>
        <v>0</v>
      </c>
      <c r="N54" s="46"/>
      <c r="O54" s="46"/>
      <c r="P54" s="46"/>
      <c r="Q54" s="46"/>
      <c r="R54" s="46"/>
      <c r="S54" s="46"/>
      <c r="T54" s="149"/>
      <c r="U54" s="46"/>
      <c r="V54" s="46"/>
      <c r="W54" s="46"/>
      <c r="X54" s="46"/>
      <c r="Y54" s="46"/>
      <c r="Z54" s="46"/>
      <c r="AA54" s="46"/>
      <c r="AB54" s="46"/>
      <c r="AC54" s="46"/>
      <c r="AD54" s="46"/>
      <c r="AE54" s="46"/>
      <c r="AF54" s="46"/>
    </row>
    <row r="55" spans="1:32" ht="28.5" customHeight="1">
      <c r="A55" s="88"/>
      <c r="B55" s="166">
        <v>22660</v>
      </c>
      <c r="C55" s="271" t="s">
        <v>263</v>
      </c>
      <c r="D55" s="303">
        <f>SUM('סיכום אמוני סטודיו וקבוצה'!C3:D19)*'דוח מרכז לאישור מנהל'!N38</f>
        <v>0</v>
      </c>
      <c r="E55" s="46"/>
      <c r="G55" s="120" t="s">
        <v>199</v>
      </c>
      <c r="H55" s="164"/>
      <c r="I55" s="164"/>
      <c r="J55" s="252">
        <f>'סיכום אמוני סטודיו וקבוצה'!G36</f>
        <v>91</v>
      </c>
      <c r="K55" s="202"/>
      <c r="N55" s="46"/>
      <c r="O55" s="46"/>
      <c r="P55" s="46"/>
      <c r="Q55" s="46"/>
      <c r="R55" s="46"/>
      <c r="S55" s="46"/>
      <c r="T55" s="46"/>
      <c r="U55" s="46"/>
      <c r="V55" s="46"/>
      <c r="W55" s="46"/>
      <c r="X55" s="46"/>
      <c r="Y55" s="46"/>
      <c r="Z55" s="46"/>
      <c r="AA55" s="46"/>
      <c r="AB55" s="46"/>
      <c r="AC55" s="46"/>
      <c r="AD55" s="46"/>
      <c r="AE55" s="46"/>
      <c r="AF55" s="46"/>
    </row>
    <row r="56" spans="1:32" ht="24.75" customHeight="1">
      <c r="A56" s="88"/>
      <c r="B56" s="166">
        <v>22604</v>
      </c>
      <c r="C56" s="271" t="s">
        <v>264</v>
      </c>
      <c r="D56" s="303">
        <f>SUM('סיכום אמוני סטודיו וקבוצה'!N3:N19)*$E$37</f>
        <v>1575</v>
      </c>
      <c r="E56" s="46"/>
      <c r="G56" s="120" t="s">
        <v>237</v>
      </c>
      <c r="H56" s="145"/>
      <c r="I56" s="145"/>
      <c r="J56" s="252">
        <f>'סיכום אמוני סטודיו וקבוצה'!L36+'סיכום אמוני סטודיו וקבוצה'!N36</f>
        <v>0</v>
      </c>
      <c r="K56" s="202"/>
      <c r="M56" s="46"/>
      <c r="N56" s="46"/>
      <c r="O56" s="46"/>
      <c r="P56" s="46"/>
      <c r="Q56" s="46"/>
      <c r="R56" s="46"/>
      <c r="S56" s="46"/>
      <c r="T56" s="46"/>
      <c r="U56" s="46"/>
      <c r="V56" s="46"/>
      <c r="W56" s="46"/>
      <c r="X56" s="46"/>
      <c r="Y56" s="46"/>
      <c r="Z56" s="46"/>
      <c r="AA56" s="46"/>
      <c r="AB56" s="46"/>
      <c r="AC56" s="46"/>
      <c r="AD56" s="46"/>
      <c r="AE56" s="46"/>
      <c r="AF56" s="46"/>
    </row>
    <row r="57" spans="1:32" ht="24.75" customHeight="1">
      <c r="A57" s="88"/>
      <c r="B57" s="166">
        <v>22601</v>
      </c>
      <c r="C57" s="271" t="s">
        <v>293</v>
      </c>
      <c r="D57" s="303">
        <v>20000</v>
      </c>
      <c r="E57" s="46"/>
      <c r="G57" s="71" t="s">
        <v>41</v>
      </c>
      <c r="H57" s="146"/>
      <c r="I57" s="146"/>
      <c r="J57" s="70">
        <f>SUM(J48:J56)</f>
        <v>530.35</v>
      </c>
      <c r="K57" s="72"/>
      <c r="M57" s="46"/>
      <c r="N57" s="46"/>
      <c r="O57" s="46"/>
      <c r="P57" s="46"/>
      <c r="Q57" s="46"/>
      <c r="R57" s="46"/>
      <c r="S57" s="46"/>
      <c r="T57" s="46"/>
      <c r="U57" s="46"/>
      <c r="V57" s="46"/>
      <c r="W57" s="46"/>
      <c r="X57" s="46"/>
      <c r="Y57" s="46"/>
      <c r="Z57" s="46"/>
      <c r="AA57" s="46"/>
      <c r="AB57" s="46"/>
      <c r="AC57" s="46"/>
      <c r="AD57" s="46"/>
      <c r="AE57" s="46"/>
      <c r="AF57" s="46"/>
    </row>
    <row r="58" spans="1:32" ht="24.75" customHeight="1" thickBot="1">
      <c r="A58" s="88"/>
      <c r="B58" s="166">
        <v>22601</v>
      </c>
      <c r="C58" s="271" t="s">
        <v>270</v>
      </c>
      <c r="D58" s="307">
        <f>2000</f>
        <v>2000</v>
      </c>
      <c r="E58" s="46"/>
      <c r="G58" s="228" t="s">
        <v>179</v>
      </c>
      <c r="H58" s="229"/>
      <c r="I58" s="229"/>
      <c r="J58" s="230">
        <f>J47-J57</f>
        <v>0.75</v>
      </c>
      <c r="K58" s="231"/>
      <c r="M58" s="46"/>
      <c r="N58" s="46"/>
      <c r="O58" s="44"/>
      <c r="P58" s="44"/>
      <c r="Q58" s="44"/>
      <c r="R58" s="44"/>
      <c r="S58" s="44"/>
      <c r="T58" s="44"/>
      <c r="U58" s="44"/>
      <c r="V58" s="44"/>
      <c r="W58" s="44"/>
      <c r="X58" s="44"/>
      <c r="Y58" s="44"/>
      <c r="Z58" s="44"/>
      <c r="AA58" s="44"/>
      <c r="AB58" s="44"/>
      <c r="AC58" s="44"/>
      <c r="AD58" s="44"/>
      <c r="AE58" s="44"/>
      <c r="AF58" s="44"/>
    </row>
    <row r="59" spans="1:32" ht="24.75" customHeight="1">
      <c r="A59" s="88"/>
      <c r="B59" s="166">
        <v>10109</v>
      </c>
      <c r="C59" s="271" t="s">
        <v>296</v>
      </c>
      <c r="D59" s="307">
        <v>0</v>
      </c>
      <c r="E59" s="46"/>
      <c r="G59" s="312"/>
      <c r="H59" s="46"/>
      <c r="I59" s="46"/>
      <c r="J59" s="121"/>
      <c r="K59" s="46"/>
      <c r="M59" s="46"/>
      <c r="N59" s="46"/>
      <c r="O59" s="44"/>
      <c r="P59" s="44"/>
      <c r="Q59" s="44"/>
      <c r="R59" s="44"/>
      <c r="S59" s="44"/>
      <c r="T59" s="44"/>
      <c r="U59" s="44"/>
      <c r="V59" s="44"/>
      <c r="W59" s="44"/>
      <c r="X59" s="44"/>
      <c r="Y59" s="44"/>
      <c r="Z59" s="44"/>
      <c r="AA59" s="44"/>
      <c r="AB59" s="44"/>
      <c r="AC59" s="44"/>
      <c r="AD59" s="44"/>
      <c r="AE59" s="44"/>
      <c r="AF59" s="44"/>
    </row>
    <row r="60" spans="1:32" ht="24.75" customHeight="1">
      <c r="A60" s="88"/>
      <c r="B60" s="166">
        <v>22655</v>
      </c>
      <c r="C60" s="271" t="s">
        <v>268</v>
      </c>
      <c r="D60" s="308">
        <v>2500</v>
      </c>
      <c r="E60" s="46"/>
      <c r="F60" s="241"/>
      <c r="J60" s="257"/>
      <c r="K60" s="112"/>
      <c r="M60" s="46"/>
      <c r="N60" s="46"/>
      <c r="O60" s="44"/>
      <c r="P60" s="44"/>
      <c r="Q60" s="44"/>
      <c r="R60" s="44"/>
      <c r="S60" s="44"/>
      <c r="T60" s="44"/>
      <c r="U60" s="44"/>
      <c r="V60" s="44"/>
      <c r="W60" s="44"/>
      <c r="X60" s="44"/>
      <c r="Y60" s="44"/>
      <c r="Z60" s="44"/>
      <c r="AA60" s="44"/>
      <c r="AB60" s="44"/>
      <c r="AC60" s="44"/>
      <c r="AD60" s="44"/>
      <c r="AE60" s="44"/>
      <c r="AF60" s="44"/>
    </row>
    <row r="61" spans="1:32" ht="23.25" customHeight="1">
      <c r="A61" s="46"/>
      <c r="B61" s="262">
        <v>22650</v>
      </c>
      <c r="C61" s="269" t="s">
        <v>297</v>
      </c>
      <c r="D61" s="307">
        <f>1375+790+250</f>
        <v>2415</v>
      </c>
      <c r="E61" s="44"/>
      <c r="K61" s="112"/>
      <c r="M61" s="46"/>
      <c r="N61" s="46"/>
    </row>
    <row r="62" spans="1:32" ht="30" customHeight="1" thickBot="1">
      <c r="A62" s="44"/>
      <c r="B62" s="218">
        <v>22662</v>
      </c>
      <c r="C62" s="270" t="s">
        <v>216</v>
      </c>
      <c r="D62" s="296">
        <f>מכירות!N10</f>
        <v>4001.4000000000005</v>
      </c>
      <c r="E62" s="240"/>
      <c r="F62" s="273">
        <f>+D53+D54+D55+D56+D58+D61+D59+D57</f>
        <v>67565</v>
      </c>
      <c r="K62" s="112"/>
      <c r="M62" s="46"/>
      <c r="N62" s="46"/>
    </row>
    <row r="63" spans="1:32" ht="27" customHeight="1" thickBot="1">
      <c r="A63" s="46"/>
      <c r="B63" s="46"/>
      <c r="C63" s="46"/>
      <c r="D63" s="46"/>
      <c r="F63" s="274">
        <f ca="1">D47+D48+D49+D50+D52+D62+D51</f>
        <v>49729.962500000001</v>
      </c>
      <c r="K63" s="112"/>
      <c r="M63" s="46"/>
      <c r="N63" s="46"/>
    </row>
    <row r="64" spans="1:32" ht="14.25" customHeight="1">
      <c r="B64" s="46"/>
      <c r="C64" s="46" t="s">
        <v>259</v>
      </c>
      <c r="D64" s="264">
        <f ca="1">SUM(D47:D62)</f>
        <v>119794.96249999999</v>
      </c>
      <c r="E64" s="46"/>
      <c r="F64" s="275">
        <f>D60</f>
        <v>2500</v>
      </c>
      <c r="K64" s="112"/>
      <c r="M64" s="46"/>
      <c r="N64" s="46"/>
    </row>
    <row r="65" spans="2:11" ht="15" customHeight="1">
      <c r="F65" s="274">
        <f ca="1">SUM(F62:F64)</f>
        <v>119794.96249999999</v>
      </c>
      <c r="K65" s="112"/>
    </row>
    <row r="66" spans="2:11">
      <c r="K66" s="112"/>
    </row>
    <row r="67" spans="2:11">
      <c r="B67" s="216" t="s">
        <v>45</v>
      </c>
      <c r="C67" s="216" t="s">
        <v>46</v>
      </c>
      <c r="F67" s="189"/>
      <c r="H67" s="274"/>
      <c r="I67" s="274"/>
      <c r="K67" s="112"/>
    </row>
    <row r="68" spans="2:11">
      <c r="F68" s="189"/>
      <c r="G68" s="257"/>
    </row>
    <row r="69" spans="2:11">
      <c r="D69" s="114"/>
    </row>
    <row r="70" spans="2:11">
      <c r="D70" s="239"/>
    </row>
    <row r="71" spans="2:11">
      <c r="D71" s="239"/>
    </row>
  </sheetData>
  <mergeCells count="2">
    <mergeCell ref="N39:O39"/>
    <mergeCell ref="G46:K46"/>
  </mergeCells>
  <pageMargins left="0.70866141732283472" right="0.70866141732283472" top="0.74803149606299213" bottom="0.74803149606299213" header="0.31496062992125984" footer="0.31496062992125984"/>
  <pageSetup scale="93"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B107"/>
  <sheetViews>
    <sheetView rightToLeft="1" topLeftCell="A24" zoomScale="90" zoomScaleNormal="90" workbookViewId="0">
      <selection activeCell="Q40" sqref="Q40"/>
    </sheetView>
  </sheetViews>
  <sheetFormatPr baseColWidth="10" defaultColWidth="9" defaultRowHeight="15"/>
  <cols>
    <col min="1" max="1" width="14.1640625" style="49" bestFit="1" customWidth="1"/>
    <col min="2" max="2" width="14" style="49" customWidth="1"/>
    <col min="3" max="3" width="14.1640625" style="49" customWidth="1"/>
    <col min="4" max="4" width="14" style="49" customWidth="1"/>
    <col min="5" max="5" width="14.1640625" style="49" customWidth="1"/>
    <col min="6" max="6" width="13.1640625" style="49" customWidth="1"/>
    <col min="7" max="7" width="12" style="49" customWidth="1"/>
    <col min="8" max="8" width="12.1640625" style="49" customWidth="1"/>
    <col min="9" max="9" width="12.6640625" style="49" customWidth="1"/>
    <col min="10" max="11" width="13.1640625" style="49" customWidth="1"/>
    <col min="12" max="12" width="13.5" style="49" customWidth="1"/>
    <col min="13" max="14" width="11.6640625" style="49" customWidth="1"/>
    <col min="15" max="16" width="12.6640625" style="49" customWidth="1"/>
    <col min="17" max="17" width="10.5" style="49" bestFit="1" customWidth="1"/>
    <col min="18" max="18" width="13.83203125" style="49" customWidth="1"/>
    <col min="19" max="19" width="11.33203125" style="49" customWidth="1"/>
    <col min="20" max="20" width="13" style="49" customWidth="1"/>
    <col min="21" max="21" width="25.33203125" style="49" customWidth="1"/>
    <col min="22" max="22" width="19.83203125" style="49" bestFit="1" customWidth="1"/>
    <col min="23" max="23" width="15" style="49" bestFit="1" customWidth="1"/>
    <col min="24" max="24" width="15.6640625" style="49" customWidth="1"/>
    <col min="25" max="25" width="13.5" style="49" customWidth="1"/>
    <col min="26" max="16384" width="9" style="49"/>
  </cols>
  <sheetData>
    <row r="1" spans="1:28" ht="29.25" customHeight="1" thickBot="1">
      <c r="A1" s="370" t="s">
        <v>236</v>
      </c>
      <c r="B1" s="370"/>
      <c r="C1" s="370"/>
      <c r="D1" s="370"/>
      <c r="E1" s="194"/>
      <c r="F1" s="184"/>
      <c r="G1" s="194"/>
      <c r="H1" s="184" t="s">
        <v>18</v>
      </c>
      <c r="I1" s="184"/>
      <c r="J1" s="184"/>
      <c r="K1" s="188"/>
      <c r="L1" s="188"/>
      <c r="M1" s="188"/>
      <c r="N1" s="370" t="s">
        <v>218</v>
      </c>
      <c r="O1" s="370"/>
      <c r="P1" s="188"/>
      <c r="Q1" s="184"/>
      <c r="Y1" s="92"/>
      <c r="Z1" s="327" t="s">
        <v>319</v>
      </c>
      <c r="AA1" s="327" t="s">
        <v>320</v>
      </c>
      <c r="AB1" s="327" t="s">
        <v>321</v>
      </c>
    </row>
    <row r="2" spans="1:28" ht="45.75" customHeight="1" thickBot="1">
      <c r="A2" s="123" t="s">
        <v>77</v>
      </c>
      <c r="B2" s="124" t="s">
        <v>233</v>
      </c>
      <c r="C2" s="169" t="s">
        <v>224</v>
      </c>
      <c r="D2" s="125" t="s">
        <v>226</v>
      </c>
      <c r="E2" s="194"/>
      <c r="F2" s="123" t="s">
        <v>77</v>
      </c>
      <c r="G2" s="124" t="s">
        <v>223</v>
      </c>
      <c r="H2" s="124" t="s">
        <v>189</v>
      </c>
      <c r="I2" s="124" t="s">
        <v>244</v>
      </c>
      <c r="J2" s="169" t="s">
        <v>245</v>
      </c>
      <c r="K2" s="124" t="s">
        <v>251</v>
      </c>
      <c r="L2" s="195" t="s">
        <v>252</v>
      </c>
      <c r="N2" s="219" t="s">
        <v>222</v>
      </c>
      <c r="O2" s="219" t="s">
        <v>287</v>
      </c>
      <c r="P2" s="220" t="s">
        <v>288</v>
      </c>
      <c r="R2" s="184"/>
      <c r="Y2" s="323" t="s">
        <v>309</v>
      </c>
      <c r="Z2" s="324"/>
      <c r="AA2" s="325">
        <v>150</v>
      </c>
      <c r="AB2" s="325"/>
    </row>
    <row r="3" spans="1:28" s="194" customFormat="1" ht="19">
      <c r="A3" s="198" t="s">
        <v>309</v>
      </c>
      <c r="B3" s="316">
        <v>4</v>
      </c>
      <c r="C3" s="316"/>
      <c r="D3" s="316"/>
      <c r="F3" s="198" t="s">
        <v>309</v>
      </c>
      <c r="G3" s="316"/>
      <c r="H3" s="316"/>
      <c r="I3" s="316"/>
      <c r="J3" s="316"/>
      <c r="K3" s="316"/>
      <c r="L3" s="316"/>
      <c r="N3" s="298"/>
      <c r="O3" s="298"/>
      <c r="P3" s="298"/>
      <c r="R3" s="232"/>
      <c r="S3" s="49"/>
      <c r="X3" s="49"/>
      <c r="Y3" s="323" t="s">
        <v>269</v>
      </c>
      <c r="Z3" s="326">
        <v>129.80000000000001</v>
      </c>
      <c r="AA3" s="325">
        <v>177</v>
      </c>
      <c r="AB3" s="325"/>
    </row>
    <row r="4" spans="1:28" s="194" customFormat="1" ht="19">
      <c r="A4" s="198" t="s">
        <v>332</v>
      </c>
      <c r="B4" s="316">
        <v>0</v>
      </c>
      <c r="C4" s="316"/>
      <c r="D4" s="316"/>
      <c r="F4" s="198" t="s">
        <v>332</v>
      </c>
      <c r="G4" s="316"/>
      <c r="H4" s="316"/>
      <c r="I4" s="316"/>
      <c r="J4" s="316"/>
      <c r="K4" s="316"/>
      <c r="L4" s="316"/>
      <c r="N4" s="316"/>
      <c r="O4" s="316"/>
      <c r="P4" s="298"/>
      <c r="R4" s="232"/>
      <c r="S4" s="49"/>
      <c r="X4" s="49"/>
      <c r="Y4" s="323"/>
      <c r="Z4" s="326"/>
      <c r="AA4" s="325"/>
      <c r="AB4" s="325"/>
    </row>
    <row r="5" spans="1:28" s="194" customFormat="1" ht="19">
      <c r="A5" s="198" t="s">
        <v>269</v>
      </c>
      <c r="B5" s="316">
        <v>14</v>
      </c>
      <c r="C5" s="316"/>
      <c r="D5" s="316"/>
      <c r="F5" s="198" t="s">
        <v>269</v>
      </c>
      <c r="G5" s="316">
        <v>36</v>
      </c>
      <c r="H5" s="316"/>
      <c r="I5" s="316"/>
      <c r="J5" s="316"/>
      <c r="K5" s="316"/>
      <c r="L5" s="316"/>
      <c r="N5" s="316"/>
      <c r="O5" s="316"/>
      <c r="P5" s="298"/>
      <c r="R5" s="232"/>
      <c r="S5" s="49"/>
      <c r="X5" s="49"/>
      <c r="Y5" s="323"/>
      <c r="Z5" s="326"/>
      <c r="AA5" s="325"/>
      <c r="AB5" s="325"/>
    </row>
    <row r="6" spans="1:28" s="194" customFormat="1" ht="19">
      <c r="A6" s="198" t="s">
        <v>333</v>
      </c>
      <c r="B6" s="316">
        <v>1</v>
      </c>
      <c r="C6" s="316"/>
      <c r="D6" s="316"/>
      <c r="F6" s="198" t="s">
        <v>333</v>
      </c>
      <c r="G6" s="316"/>
      <c r="H6" s="316"/>
      <c r="I6" s="316"/>
      <c r="J6" s="316"/>
      <c r="K6" s="316"/>
      <c r="L6" s="316"/>
      <c r="N6" s="316"/>
      <c r="O6" s="316"/>
      <c r="P6" s="319"/>
      <c r="R6" s="299"/>
      <c r="S6" s="49"/>
      <c r="X6" s="49"/>
      <c r="Y6" s="323" t="s">
        <v>310</v>
      </c>
      <c r="Z6" s="324"/>
      <c r="AA6" s="325">
        <v>120</v>
      </c>
      <c r="AB6" s="325"/>
    </row>
    <row r="7" spans="1:28" s="194" customFormat="1" ht="19">
      <c r="A7" s="198" t="s">
        <v>327</v>
      </c>
      <c r="B7" s="316">
        <v>2</v>
      </c>
      <c r="C7" s="316"/>
      <c r="D7" s="316"/>
      <c r="F7" s="198" t="s">
        <v>327</v>
      </c>
      <c r="G7" s="316"/>
      <c r="H7" s="316"/>
      <c r="I7" s="316"/>
      <c r="J7" s="316"/>
      <c r="K7" s="316"/>
      <c r="L7" s="316"/>
      <c r="N7" s="316"/>
      <c r="O7" s="316"/>
      <c r="P7" s="319"/>
      <c r="R7" s="299"/>
      <c r="S7" s="49"/>
      <c r="X7" s="49"/>
      <c r="Y7" s="323" t="s">
        <v>311</v>
      </c>
      <c r="Z7" s="326">
        <v>129.80000000000001</v>
      </c>
      <c r="AA7" s="325">
        <v>200.6</v>
      </c>
      <c r="AB7" s="325"/>
    </row>
    <row r="8" spans="1:28" s="194" customFormat="1" ht="19">
      <c r="A8" s="198" t="s">
        <v>329</v>
      </c>
      <c r="B8" s="316">
        <v>2</v>
      </c>
      <c r="C8" s="316"/>
      <c r="D8" s="316"/>
      <c r="F8" s="198" t="s">
        <v>329</v>
      </c>
      <c r="G8" s="317"/>
      <c r="H8" s="316"/>
      <c r="I8" s="316"/>
      <c r="J8" s="316"/>
      <c r="K8" s="316"/>
      <c r="L8" s="316"/>
      <c r="N8" s="316"/>
      <c r="O8" s="316"/>
      <c r="P8" s="319"/>
      <c r="R8" s="299"/>
      <c r="S8" s="49"/>
      <c r="X8" s="49"/>
      <c r="Y8" s="323" t="s">
        <v>312</v>
      </c>
      <c r="Z8" s="324"/>
      <c r="AA8" s="325">
        <v>200</v>
      </c>
      <c r="AB8" s="325"/>
    </row>
    <row r="9" spans="1:28" s="194" customFormat="1" ht="19">
      <c r="A9" s="198" t="s">
        <v>334</v>
      </c>
      <c r="B9" s="316"/>
      <c r="C9" s="316"/>
      <c r="D9" s="316"/>
      <c r="F9" s="198" t="s">
        <v>334</v>
      </c>
      <c r="G9" s="317">
        <v>1</v>
      </c>
      <c r="H9" s="316"/>
      <c r="I9" s="316"/>
      <c r="J9" s="316"/>
      <c r="K9" s="316"/>
      <c r="L9" s="316"/>
      <c r="N9" s="316">
        <v>1</v>
      </c>
      <c r="O9" s="316"/>
      <c r="P9" s="319"/>
      <c r="R9" s="299"/>
      <c r="S9" s="49"/>
      <c r="X9" s="49"/>
      <c r="Y9" s="323"/>
      <c r="Z9" s="324"/>
      <c r="AA9" s="325"/>
      <c r="AB9" s="325"/>
    </row>
    <row r="10" spans="1:28" s="194" customFormat="1" ht="19">
      <c r="A10" s="198" t="s">
        <v>311</v>
      </c>
      <c r="B10" s="316">
        <v>35</v>
      </c>
      <c r="C10" s="316"/>
      <c r="D10" s="316"/>
      <c r="F10" s="198" t="s">
        <v>311</v>
      </c>
      <c r="G10" s="316">
        <v>27</v>
      </c>
      <c r="H10" s="316"/>
      <c r="I10" s="316"/>
      <c r="J10" s="316"/>
      <c r="K10" s="316"/>
      <c r="L10" s="316"/>
      <c r="N10" s="316"/>
      <c r="O10" s="316"/>
      <c r="P10" s="319"/>
      <c r="R10" s="299"/>
      <c r="S10" s="49"/>
      <c r="X10" s="49"/>
      <c r="Y10" s="323" t="s">
        <v>281</v>
      </c>
      <c r="Z10" s="324"/>
      <c r="AA10" s="325">
        <v>140</v>
      </c>
      <c r="AB10" s="325"/>
    </row>
    <row r="11" spans="1:28" s="194" customFormat="1" ht="19">
      <c r="A11" s="198" t="s">
        <v>277</v>
      </c>
      <c r="B11" s="316">
        <v>8</v>
      </c>
      <c r="C11" s="316"/>
      <c r="D11" s="316"/>
      <c r="F11" s="198" t="s">
        <v>277</v>
      </c>
      <c r="G11" s="317"/>
      <c r="H11" s="316"/>
      <c r="I11" s="316"/>
      <c r="J11" s="317"/>
      <c r="K11" s="316"/>
      <c r="L11" s="316"/>
      <c r="N11" s="317"/>
      <c r="O11" s="317"/>
      <c r="P11" s="319"/>
      <c r="R11" s="299"/>
      <c r="S11" s="49"/>
      <c r="X11" s="49"/>
      <c r="Y11" s="323" t="s">
        <v>298</v>
      </c>
      <c r="Z11" s="324"/>
      <c r="AA11" s="325">
        <v>150</v>
      </c>
      <c r="AB11" s="325"/>
    </row>
    <row r="12" spans="1:28" s="194" customFormat="1" ht="19">
      <c r="A12" s="198" t="s">
        <v>328</v>
      </c>
      <c r="B12" s="316">
        <v>2</v>
      </c>
      <c r="C12" s="316"/>
      <c r="D12" s="316"/>
      <c r="F12" s="198" t="s">
        <v>328</v>
      </c>
      <c r="G12" s="316"/>
      <c r="H12" s="316"/>
      <c r="I12" s="316"/>
      <c r="J12" s="316"/>
      <c r="K12" s="316"/>
      <c r="L12" s="316"/>
      <c r="N12" s="298"/>
      <c r="O12" s="298"/>
      <c r="P12" s="319"/>
      <c r="R12" s="299"/>
      <c r="S12" s="49"/>
      <c r="X12" s="49"/>
      <c r="Y12" s="323" t="s">
        <v>313</v>
      </c>
      <c r="Z12" s="324"/>
      <c r="AA12" s="325">
        <v>120</v>
      </c>
      <c r="AB12" s="325"/>
    </row>
    <row r="13" spans="1:28" s="194" customFormat="1" ht="19">
      <c r="A13" s="198" t="s">
        <v>299</v>
      </c>
      <c r="B13" s="316">
        <v>8</v>
      </c>
      <c r="C13" s="316"/>
      <c r="D13" s="316"/>
      <c r="F13" s="198" t="s">
        <v>299</v>
      </c>
      <c r="G13" s="316"/>
      <c r="H13" s="316"/>
      <c r="I13" s="316"/>
      <c r="J13" s="316"/>
      <c r="K13" s="316"/>
      <c r="L13" s="316"/>
      <c r="N13" s="298"/>
      <c r="O13" s="298"/>
      <c r="P13" s="319"/>
      <c r="R13" s="299"/>
      <c r="S13" s="49"/>
      <c r="X13" s="49"/>
      <c r="Y13" s="323" t="s">
        <v>314</v>
      </c>
      <c r="Z13" s="324"/>
      <c r="AA13" s="325">
        <v>190</v>
      </c>
      <c r="AB13" s="325"/>
    </row>
    <row r="14" spans="1:28" s="194" customFormat="1" ht="19">
      <c r="A14" s="198" t="s">
        <v>232</v>
      </c>
      <c r="B14" s="316">
        <v>18</v>
      </c>
      <c r="C14" s="316"/>
      <c r="D14" s="316"/>
      <c r="F14" s="198" t="s">
        <v>232</v>
      </c>
      <c r="G14" s="316"/>
      <c r="H14" s="316"/>
      <c r="I14" s="316"/>
      <c r="J14" s="316"/>
      <c r="K14" s="316"/>
      <c r="L14" s="316"/>
      <c r="N14" s="298"/>
      <c r="O14" s="298"/>
      <c r="P14" s="319"/>
      <c r="R14" s="299"/>
      <c r="S14" s="49"/>
      <c r="X14" s="49"/>
      <c r="Y14" s="323"/>
      <c r="Z14" s="324"/>
      <c r="AA14" s="325"/>
      <c r="AB14" s="325"/>
    </row>
    <row r="15" spans="1:28" s="194" customFormat="1" ht="19">
      <c r="A15" s="198" t="s">
        <v>272</v>
      </c>
      <c r="B15" s="316">
        <v>10</v>
      </c>
      <c r="C15" s="316"/>
      <c r="D15" s="316"/>
      <c r="F15" s="198" t="s">
        <v>272</v>
      </c>
      <c r="G15" s="316"/>
      <c r="H15" s="316"/>
      <c r="I15" s="316"/>
      <c r="J15" s="316"/>
      <c r="K15" s="316"/>
      <c r="L15" s="316"/>
      <c r="N15" s="298"/>
      <c r="O15" s="298"/>
      <c r="P15" s="319"/>
      <c r="R15" s="299"/>
      <c r="S15" s="49"/>
      <c r="X15" s="49"/>
      <c r="Y15" s="323" t="s">
        <v>315</v>
      </c>
      <c r="Z15" s="324"/>
      <c r="AA15" s="325">
        <v>130</v>
      </c>
      <c r="AB15" s="325"/>
    </row>
    <row r="16" spans="1:28" s="194" customFormat="1" ht="19">
      <c r="A16" s="198" t="s">
        <v>280</v>
      </c>
      <c r="B16" s="316">
        <v>4</v>
      </c>
      <c r="C16" s="316"/>
      <c r="D16" s="316"/>
      <c r="F16" s="198" t="s">
        <v>280</v>
      </c>
      <c r="G16" s="316"/>
      <c r="H16" s="316"/>
      <c r="I16" s="316"/>
      <c r="J16" s="316"/>
      <c r="K16" s="316"/>
      <c r="L16" s="316"/>
      <c r="N16" s="298"/>
      <c r="O16" s="298"/>
      <c r="P16" s="319"/>
      <c r="R16" s="299"/>
      <c r="S16" s="49"/>
      <c r="X16" s="49"/>
      <c r="Y16" s="323" t="s">
        <v>232</v>
      </c>
      <c r="Z16" s="324"/>
      <c r="AA16" s="325">
        <v>170</v>
      </c>
      <c r="AB16" s="325"/>
    </row>
    <row r="17" spans="1:28" s="194" customFormat="1" ht="19">
      <c r="A17" s="198" t="s">
        <v>227</v>
      </c>
      <c r="B17" s="316">
        <v>9</v>
      </c>
      <c r="C17" s="316"/>
      <c r="D17" s="316"/>
      <c r="F17" s="198" t="s">
        <v>227</v>
      </c>
      <c r="G17" s="298">
        <v>20</v>
      </c>
      <c r="H17" s="316"/>
      <c r="I17" s="316"/>
      <c r="J17" s="316"/>
      <c r="K17" s="316"/>
      <c r="L17" s="316"/>
      <c r="N17" s="298">
        <v>10</v>
      </c>
      <c r="O17" s="298"/>
      <c r="P17" s="319"/>
      <c r="R17" s="299"/>
      <c r="S17" s="49"/>
      <c r="X17" s="49"/>
      <c r="Y17" s="323"/>
      <c r="Z17" s="324"/>
      <c r="AA17" s="325"/>
      <c r="AB17" s="325"/>
    </row>
    <row r="18" spans="1:28" s="194" customFormat="1" ht="19">
      <c r="A18" s="198" t="s">
        <v>303</v>
      </c>
      <c r="B18" s="316">
        <v>6</v>
      </c>
      <c r="C18" s="316"/>
      <c r="D18" s="316"/>
      <c r="F18" s="198" t="s">
        <v>303</v>
      </c>
      <c r="G18" s="316"/>
      <c r="H18" s="316"/>
      <c r="I18" s="316"/>
      <c r="J18" s="316"/>
      <c r="K18" s="316"/>
      <c r="L18" s="316"/>
      <c r="N18" s="298"/>
      <c r="O18" s="298"/>
      <c r="P18" s="319"/>
      <c r="R18" s="299"/>
      <c r="S18" s="49"/>
      <c r="X18" s="49"/>
      <c r="Y18" s="323" t="s">
        <v>227</v>
      </c>
      <c r="Z18" s="326">
        <v>110</v>
      </c>
      <c r="AA18" s="325">
        <v>150</v>
      </c>
      <c r="AB18" s="325">
        <v>112.5</v>
      </c>
    </row>
    <row r="19" spans="1:28" s="194" customFormat="1" ht="19">
      <c r="A19" s="198" t="s">
        <v>278</v>
      </c>
      <c r="B19" s="316"/>
      <c r="C19" s="316"/>
      <c r="D19" s="316"/>
      <c r="F19" s="198" t="s">
        <v>278</v>
      </c>
      <c r="G19" s="317">
        <v>85</v>
      </c>
      <c r="H19" s="316"/>
      <c r="I19" s="316"/>
      <c r="J19" s="316"/>
      <c r="K19" s="316"/>
      <c r="L19" s="316"/>
      <c r="N19" s="317">
        <v>10</v>
      </c>
      <c r="O19" s="317"/>
      <c r="P19" s="319"/>
      <c r="R19" s="299"/>
      <c r="S19" s="49"/>
      <c r="X19" s="49"/>
      <c r="Y19" s="323" t="s">
        <v>316</v>
      </c>
      <c r="Z19" s="324"/>
      <c r="AA19" s="325">
        <v>140</v>
      </c>
      <c r="AB19" s="325"/>
    </row>
    <row r="20" spans="1:28" s="194" customFormat="1" ht="19">
      <c r="A20" s="300" t="s">
        <v>274</v>
      </c>
      <c r="B20" s="315"/>
      <c r="C20" s="328"/>
      <c r="D20" s="315"/>
      <c r="F20" s="300" t="s">
        <v>274</v>
      </c>
      <c r="G20" s="315">
        <v>10</v>
      </c>
      <c r="H20" s="315"/>
      <c r="I20" s="315"/>
      <c r="J20" s="315"/>
      <c r="K20" s="315"/>
      <c r="L20" s="315"/>
      <c r="N20" s="318"/>
      <c r="O20" s="318">
        <f>57.5-G20</f>
        <v>47.5</v>
      </c>
      <c r="P20" s="321"/>
      <c r="R20" s="232"/>
      <c r="S20" s="49"/>
      <c r="X20" s="49"/>
      <c r="Y20" s="323" t="s">
        <v>303</v>
      </c>
      <c r="Z20" s="324"/>
      <c r="AA20" s="325">
        <v>140</v>
      </c>
      <c r="AB20" s="325"/>
    </row>
    <row r="21" spans="1:28" s="194" customFormat="1" ht="19">
      <c r="A21" s="300" t="s">
        <v>279</v>
      </c>
      <c r="B21" s="315"/>
      <c r="C21" s="328"/>
      <c r="D21" s="315"/>
      <c r="F21" s="300" t="s">
        <v>279</v>
      </c>
      <c r="G21" s="315"/>
      <c r="H21" s="315"/>
      <c r="I21" s="315"/>
      <c r="J21" s="315"/>
      <c r="K21" s="315"/>
      <c r="L21" s="315"/>
      <c r="N21" s="318"/>
      <c r="O21" s="318"/>
      <c r="P21" s="321"/>
      <c r="R21" s="232"/>
      <c r="S21" s="49"/>
      <c r="X21" s="49"/>
      <c r="Y21" s="323" t="s">
        <v>317</v>
      </c>
      <c r="Z21" s="324"/>
      <c r="AA21" s="325">
        <v>120</v>
      </c>
      <c r="AB21" s="325"/>
    </row>
    <row r="22" spans="1:28" s="194" customFormat="1" ht="19">
      <c r="A22" s="300" t="s">
        <v>302</v>
      </c>
      <c r="B22" s="315"/>
      <c r="C22" s="328"/>
      <c r="D22" s="315"/>
      <c r="F22" s="300" t="s">
        <v>302</v>
      </c>
      <c r="G22" s="315">
        <v>11</v>
      </c>
      <c r="H22" s="315"/>
      <c r="I22" s="315"/>
      <c r="J22" s="315"/>
      <c r="K22" s="315"/>
      <c r="L22" s="315"/>
      <c r="N22" s="320"/>
      <c r="O22" s="322">
        <f>116.9-G22-P22</f>
        <v>45.900000000000006</v>
      </c>
      <c r="P22" s="321">
        <v>60</v>
      </c>
      <c r="R22" s="232"/>
      <c r="S22" s="49"/>
      <c r="X22" s="49"/>
      <c r="Y22" s="323" t="s">
        <v>318</v>
      </c>
      <c r="Z22" s="324"/>
      <c r="AA22" s="325">
        <v>200</v>
      </c>
      <c r="AB22" s="325"/>
    </row>
    <row r="23" spans="1:28" s="194" customFormat="1" ht="19">
      <c r="A23" s="300" t="s">
        <v>301</v>
      </c>
      <c r="B23" s="315"/>
      <c r="C23" s="328"/>
      <c r="D23" s="315"/>
      <c r="F23" s="300" t="s">
        <v>301</v>
      </c>
      <c r="G23" s="315"/>
      <c r="H23" s="315"/>
      <c r="I23" s="315"/>
      <c r="J23" s="315"/>
      <c r="K23" s="315"/>
      <c r="L23" s="315"/>
      <c r="N23" s="320"/>
      <c r="O23" s="320"/>
      <c r="P23" s="321">
        <v>58.75</v>
      </c>
      <c r="R23" s="232"/>
      <c r="S23" s="49"/>
      <c r="X23" s="49"/>
      <c r="Y23" s="323" t="s">
        <v>176</v>
      </c>
      <c r="Z23" s="324"/>
      <c r="AA23" s="325">
        <v>130</v>
      </c>
      <c r="AB23" s="325"/>
    </row>
    <row r="24" spans="1:28" s="194" customFormat="1" ht="19">
      <c r="A24" s="300" t="s">
        <v>322</v>
      </c>
      <c r="B24" s="315"/>
      <c r="C24" s="328"/>
      <c r="D24" s="315"/>
      <c r="F24" s="300" t="s">
        <v>322</v>
      </c>
      <c r="G24" s="315">
        <v>3</v>
      </c>
      <c r="H24" s="315"/>
      <c r="I24" s="315"/>
      <c r="J24" s="315"/>
      <c r="K24" s="315"/>
      <c r="L24" s="315"/>
      <c r="N24" s="318"/>
      <c r="O24" s="318">
        <f>59.95-G24</f>
        <v>56.95</v>
      </c>
      <c r="P24" s="321"/>
      <c r="R24" s="232"/>
      <c r="S24" s="49"/>
      <c r="X24" s="49"/>
      <c r="Y24" s="323" t="s">
        <v>294</v>
      </c>
      <c r="Z24" s="324"/>
      <c r="AA24" s="325">
        <v>200</v>
      </c>
      <c r="AB24" s="325"/>
    </row>
    <row r="25" spans="1:28" s="194" customFormat="1" ht="19">
      <c r="A25" s="300" t="s">
        <v>260</v>
      </c>
      <c r="B25" s="315"/>
      <c r="C25" s="328">
        <v>17</v>
      </c>
      <c r="D25" s="315"/>
      <c r="F25" s="300" t="s">
        <v>260</v>
      </c>
      <c r="G25" s="315">
        <v>45</v>
      </c>
      <c r="H25" s="315"/>
      <c r="I25" s="315"/>
      <c r="J25" s="315"/>
      <c r="K25" s="315"/>
      <c r="L25" s="315"/>
      <c r="N25" s="318"/>
      <c r="O25" s="318">
        <f>122.5-G25-C25</f>
        <v>60.5</v>
      </c>
      <c r="P25" s="321"/>
      <c r="R25" s="232"/>
      <c r="S25" s="49"/>
      <c r="X25" s="49"/>
      <c r="Y25" s="323" t="s">
        <v>278</v>
      </c>
      <c r="Z25" s="326">
        <v>110</v>
      </c>
      <c r="AA25" s="325">
        <v>150</v>
      </c>
      <c r="AB25" s="325">
        <v>60.677419350000001</v>
      </c>
    </row>
    <row r="26" spans="1:28" s="194" customFormat="1" ht="19">
      <c r="A26" s="300" t="s">
        <v>282</v>
      </c>
      <c r="B26" s="315"/>
      <c r="C26" s="328"/>
      <c r="D26" s="315"/>
      <c r="F26" s="300" t="s">
        <v>282</v>
      </c>
      <c r="G26" s="315">
        <v>6</v>
      </c>
      <c r="H26" s="315"/>
      <c r="I26" s="315"/>
      <c r="J26" s="315"/>
      <c r="K26" s="315"/>
      <c r="L26" s="315"/>
      <c r="N26" s="318"/>
      <c r="O26" s="318">
        <f>23-G26</f>
        <v>17</v>
      </c>
      <c r="P26" s="321"/>
      <c r="Q26" s="311"/>
      <c r="R26" s="232"/>
      <c r="S26" s="49"/>
      <c r="T26" s="49"/>
      <c r="U26" s="49"/>
      <c r="V26" s="49"/>
      <c r="W26" s="49"/>
      <c r="X26" s="49"/>
    </row>
    <row r="27" spans="1:28" s="194" customFormat="1" ht="19">
      <c r="A27" s="300" t="s">
        <v>284</v>
      </c>
      <c r="B27" s="315"/>
      <c r="C27" s="328">
        <v>1</v>
      </c>
      <c r="D27" s="315"/>
      <c r="F27" s="300" t="s">
        <v>284</v>
      </c>
      <c r="G27" s="315">
        <v>9</v>
      </c>
      <c r="H27" s="315"/>
      <c r="I27" s="315"/>
      <c r="J27" s="315"/>
      <c r="K27" s="315"/>
      <c r="L27" s="315"/>
      <c r="N27" s="318"/>
      <c r="O27" s="318">
        <f>21.5-G27-C27</f>
        <v>11.5</v>
      </c>
      <c r="P27" s="321"/>
      <c r="R27" s="232"/>
      <c r="S27" s="49"/>
      <c r="T27" s="49"/>
      <c r="U27" s="49"/>
      <c r="V27" s="49"/>
      <c r="W27" s="49"/>
      <c r="X27" s="49"/>
    </row>
    <row r="28" spans="1:28" s="194" customFormat="1" ht="19">
      <c r="A28" s="300" t="s">
        <v>300</v>
      </c>
      <c r="B28" s="315"/>
      <c r="C28" s="328">
        <v>6</v>
      </c>
      <c r="D28" s="315"/>
      <c r="F28" s="300" t="s">
        <v>300</v>
      </c>
      <c r="G28" s="315">
        <v>7</v>
      </c>
      <c r="H28" s="315"/>
      <c r="I28" s="315"/>
      <c r="J28" s="315"/>
      <c r="K28" s="315"/>
      <c r="L28" s="315"/>
      <c r="N28" s="318"/>
      <c r="O28" s="318">
        <f>70-G28-C28</f>
        <v>57</v>
      </c>
      <c r="P28" s="321"/>
      <c r="R28" s="232"/>
      <c r="S28" s="49"/>
      <c r="T28" s="49"/>
      <c r="U28" s="49"/>
      <c r="V28" s="49"/>
      <c r="W28" s="49"/>
      <c r="X28" s="49"/>
    </row>
    <row r="29" spans="1:28" s="194" customFormat="1" ht="19">
      <c r="A29" s="281"/>
      <c r="B29" s="282"/>
      <c r="F29" s="281"/>
      <c r="N29" s="201"/>
      <c r="O29" s="201"/>
      <c r="R29" s="232"/>
      <c r="S29" s="49"/>
      <c r="T29" s="49"/>
      <c r="U29" s="49"/>
      <c r="V29" s="49"/>
      <c r="W29" s="49"/>
      <c r="X29" s="49"/>
    </row>
    <row r="30" spans="1:28" s="194" customFormat="1" ht="19">
      <c r="A30" s="246" t="s">
        <v>78</v>
      </c>
      <c r="B30" s="247">
        <f>SUM(B3:B28)</f>
        <v>123</v>
      </c>
      <c r="C30" s="247">
        <f>SUM(C3:C28)</f>
        <v>24</v>
      </c>
      <c r="D30" s="247">
        <f>SUM(D3:D28)</f>
        <v>0</v>
      </c>
      <c r="G30" s="247">
        <f t="shared" ref="G30:L30" si="0">SUM(G3:G28)</f>
        <v>260</v>
      </c>
      <c r="H30" s="247">
        <f t="shared" si="0"/>
        <v>0</v>
      </c>
      <c r="I30" s="247">
        <f t="shared" si="0"/>
        <v>0</v>
      </c>
      <c r="J30" s="247">
        <f t="shared" si="0"/>
        <v>0</v>
      </c>
      <c r="K30" s="247">
        <f t="shared" si="0"/>
        <v>0</v>
      </c>
      <c r="L30" s="247">
        <f t="shared" si="0"/>
        <v>0</v>
      </c>
      <c r="N30" s="247">
        <f>SUM(N3:N28)</f>
        <v>21</v>
      </c>
      <c r="O30" s="247">
        <f>SUM(O3:O28)</f>
        <v>296.35000000000002</v>
      </c>
      <c r="P30" s="247">
        <f>SUM(P3:P28)</f>
        <v>118.75</v>
      </c>
      <c r="Q30" s="225">
        <f>SUM(B30:P30)</f>
        <v>843.1</v>
      </c>
      <c r="R30" s="232"/>
      <c r="S30" s="49"/>
      <c r="T30" s="49">
        <f>SUM(B30:P30)</f>
        <v>843.1</v>
      </c>
      <c r="U30" s="49"/>
      <c r="V30" s="49"/>
      <c r="W30" s="49"/>
      <c r="X30" s="49"/>
      <c r="Y30" s="158"/>
    </row>
    <row r="31" spans="1:28" s="194" customFormat="1" ht="19">
      <c r="A31" s="158"/>
      <c r="B31" s="158"/>
      <c r="C31" s="158"/>
      <c r="D31" s="189"/>
      <c r="E31" s="189"/>
      <c r="F31" s="189"/>
      <c r="G31" s="189"/>
      <c r="H31" s="158"/>
      <c r="I31" s="158"/>
      <c r="J31" s="158"/>
      <c r="K31" s="158"/>
      <c r="L31" s="158"/>
      <c r="M31" s="204"/>
      <c r="N31" s="158"/>
      <c r="O31" s="158"/>
      <c r="P31" s="158"/>
      <c r="Q31" s="184"/>
      <c r="R31" s="184"/>
      <c r="S31" s="49"/>
      <c r="T31" s="49"/>
      <c r="U31" s="49"/>
      <c r="V31" s="49"/>
      <c r="W31" s="49"/>
      <c r="X31" s="49"/>
      <c r="Y31" s="158"/>
      <c r="Z31" s="158"/>
    </row>
    <row r="32" spans="1:28" s="158" customFormat="1" ht="19">
      <c r="D32" s="189"/>
      <c r="E32" s="189"/>
      <c r="F32" s="189"/>
      <c r="G32" s="189"/>
      <c r="M32" s="204"/>
      <c r="Q32" s="184"/>
      <c r="R32" s="184"/>
      <c r="S32" s="49"/>
      <c r="T32" s="49"/>
      <c r="U32" s="49"/>
      <c r="V32" s="49"/>
      <c r="W32" s="49"/>
      <c r="X32" s="49"/>
    </row>
    <row r="33" spans="1:26" s="158" customFormat="1" ht="19">
      <c r="A33" s="49"/>
      <c r="B33" s="49"/>
      <c r="C33" s="49"/>
      <c r="D33" s="49"/>
      <c r="F33" s="49"/>
      <c r="G33" s="49"/>
      <c r="H33" s="49"/>
      <c r="I33" s="49"/>
      <c r="J33" s="49"/>
      <c r="K33" s="49"/>
      <c r="L33" s="49"/>
      <c r="M33" s="188"/>
      <c r="N33" s="49"/>
      <c r="O33" s="49"/>
      <c r="P33" s="49"/>
      <c r="Q33" s="184"/>
      <c r="R33" s="184"/>
      <c r="S33" s="159"/>
      <c r="T33" s="159"/>
      <c r="U33" s="194"/>
      <c r="V33" s="49"/>
      <c r="W33" s="49"/>
      <c r="X33" s="49"/>
    </row>
    <row r="34" spans="1:26" s="158" customFormat="1" ht="20" thickBot="1">
      <c r="A34" s="49"/>
      <c r="B34" s="49"/>
      <c r="C34" s="49"/>
      <c r="D34" s="49"/>
      <c r="F34" s="49"/>
      <c r="G34" s="49"/>
      <c r="H34" s="49"/>
      <c r="I34" s="49"/>
      <c r="J34" s="49"/>
      <c r="K34" s="49"/>
      <c r="L34" s="49"/>
      <c r="M34" s="49"/>
      <c r="N34" s="49"/>
      <c r="Q34" s="159"/>
      <c r="R34" s="184"/>
      <c r="S34" s="159"/>
      <c r="U34" s="194"/>
      <c r="V34" s="49"/>
      <c r="W34" s="49"/>
      <c r="X34" s="49"/>
    </row>
    <row r="35" spans="1:26" s="158" customFormat="1" ht="66" customHeight="1" thickBot="1">
      <c r="A35" s="142" t="s">
        <v>183</v>
      </c>
      <c r="B35" s="142" t="s">
        <v>225</v>
      </c>
      <c r="C35" s="143" t="s">
        <v>184</v>
      </c>
      <c r="D35" s="143" t="s">
        <v>246</v>
      </c>
      <c r="E35" s="143" t="s">
        <v>230</v>
      </c>
      <c r="F35" s="143" t="s">
        <v>231</v>
      </c>
      <c r="G35" s="143" t="s">
        <v>194</v>
      </c>
      <c r="H35" s="143" t="s">
        <v>217</v>
      </c>
      <c r="I35" s="143" t="s">
        <v>265</v>
      </c>
      <c r="J35" s="143" t="s">
        <v>195</v>
      </c>
      <c r="K35" s="143" t="s">
        <v>238</v>
      </c>
      <c r="L35" s="143" t="s">
        <v>239</v>
      </c>
      <c r="M35" s="143" t="s">
        <v>255</v>
      </c>
      <c r="N35" s="143" t="s">
        <v>256</v>
      </c>
      <c r="O35" s="143" t="s">
        <v>219</v>
      </c>
      <c r="P35" s="143" t="s">
        <v>286</v>
      </c>
      <c r="Q35" s="144" t="s">
        <v>285</v>
      </c>
      <c r="R35" s="143" t="s">
        <v>325</v>
      </c>
      <c r="S35" s="126" t="s">
        <v>5</v>
      </c>
      <c r="U35" s="194"/>
      <c r="V35" s="49"/>
      <c r="W35" s="49"/>
      <c r="X35" s="49"/>
    </row>
    <row r="36" spans="1:26" s="158" customFormat="1">
      <c r="A36" s="190">
        <f>DSUM(A42:N68,B42,A71:A90)</f>
        <v>123</v>
      </c>
      <c r="B36" s="191"/>
      <c r="C36" s="191">
        <f>DSUM(A42:N70,C42,A73:A90)</f>
        <v>0</v>
      </c>
      <c r="D36" s="191">
        <v>0</v>
      </c>
      <c r="E36" s="191">
        <f>DSUM(A42:N70,C42,B73:B83)</f>
        <v>0</v>
      </c>
      <c r="F36" s="191">
        <f>DSUM(A42:N70,D42,B73:B83)</f>
        <v>24</v>
      </c>
      <c r="G36" s="191">
        <v>91</v>
      </c>
      <c r="H36" s="191">
        <v>169</v>
      </c>
      <c r="I36" s="191">
        <f>DSUM(A42:N70,H42,A73:A90)</f>
        <v>0</v>
      </c>
      <c r="J36" s="191">
        <f>DSUM(A42:N70,E42,B73:B83)</f>
        <v>0</v>
      </c>
      <c r="K36" s="191">
        <f>DSUM(A42:N70,G42,A73:A90)+DSUM(A42:N70,G42,B73:B83)</f>
        <v>0</v>
      </c>
      <c r="L36" s="191">
        <f>DSUM(A42:N70,H42,B73:B83)</f>
        <v>0</v>
      </c>
      <c r="M36" s="191">
        <f>DSUM(A42:N70,I42,B73:B83)</f>
        <v>0</v>
      </c>
      <c r="N36" s="191">
        <f>DSUM(A42:N70,J42,B73:B83)</f>
        <v>0</v>
      </c>
      <c r="O36" s="192">
        <f>DSUM(A42:N70,K42,A73:A90)</f>
        <v>21</v>
      </c>
      <c r="P36" s="192">
        <f>DSUM(A42:N70,L42,B73:B93)</f>
        <v>296.35000000000002</v>
      </c>
      <c r="Q36" s="191">
        <v>119</v>
      </c>
      <c r="R36" s="192">
        <v>0</v>
      </c>
      <c r="S36" s="193">
        <f>SUM(A36:R36)</f>
        <v>843.35</v>
      </c>
      <c r="U36" s="194"/>
      <c r="V36" s="49"/>
      <c r="W36" s="49"/>
      <c r="X36" s="49"/>
    </row>
    <row r="37" spans="1:26" s="158" customFormat="1">
      <c r="A37" s="49"/>
      <c r="B37" s="49"/>
      <c r="D37" s="49"/>
      <c r="E37" s="49"/>
      <c r="F37" s="49"/>
      <c r="G37" s="49"/>
      <c r="H37" s="49"/>
      <c r="I37" s="49"/>
      <c r="J37" s="49"/>
      <c r="K37" s="49"/>
      <c r="L37" s="49"/>
      <c r="M37" s="49"/>
      <c r="N37" s="49"/>
      <c r="O37" s="49"/>
      <c r="P37" s="49"/>
      <c r="Q37" s="49"/>
      <c r="R37" s="159"/>
      <c r="S37" s="49"/>
      <c r="T37" s="49"/>
      <c r="U37" s="194"/>
      <c r="V37" s="49"/>
      <c r="W37" s="49"/>
      <c r="X37" s="49"/>
    </row>
    <row r="38" spans="1:26" s="158" customFormat="1">
      <c r="A38" s="49"/>
      <c r="B38" s="49"/>
      <c r="C38" s="49"/>
      <c r="D38" s="49"/>
      <c r="E38" s="49"/>
      <c r="F38" s="49"/>
      <c r="G38" s="49"/>
      <c r="H38" s="49"/>
      <c r="I38" s="49"/>
      <c r="J38" s="49"/>
      <c r="K38" s="49"/>
      <c r="L38" s="49"/>
      <c r="M38" s="49"/>
      <c r="N38" s="49"/>
      <c r="O38" s="49"/>
      <c r="P38" s="49"/>
      <c r="Q38" s="49"/>
      <c r="S38" s="49"/>
      <c r="T38" s="49"/>
      <c r="U38" s="233"/>
      <c r="V38" s="49"/>
      <c r="W38" s="49"/>
      <c r="X38" s="49"/>
    </row>
    <row r="39" spans="1:26" s="158" customFormat="1">
      <c r="A39" s="49"/>
      <c r="B39" s="49"/>
      <c r="C39" s="49"/>
      <c r="D39" s="49"/>
      <c r="E39" s="49"/>
      <c r="F39" s="49"/>
      <c r="G39" s="49"/>
      <c r="H39" s="49"/>
      <c r="I39" s="49"/>
      <c r="J39" s="49"/>
      <c r="K39" s="49"/>
      <c r="L39" s="49"/>
      <c r="M39" s="49"/>
      <c r="N39" s="49"/>
      <c r="O39" s="49"/>
      <c r="P39" s="49"/>
      <c r="Q39" s="217"/>
      <c r="R39" s="49"/>
      <c r="S39" s="49"/>
      <c r="T39" s="49"/>
      <c r="U39" s="233"/>
      <c r="V39" s="49"/>
      <c r="W39" s="49"/>
      <c r="X39" s="49"/>
    </row>
    <row r="40" spans="1:26" s="158" customFormat="1" ht="16" thickBot="1">
      <c r="A40" s="49"/>
      <c r="B40" s="49"/>
      <c r="C40" s="49"/>
      <c r="D40" s="49"/>
      <c r="E40" s="49"/>
      <c r="F40" s="49"/>
      <c r="G40" s="49"/>
      <c r="H40" s="49"/>
      <c r="I40" s="49"/>
      <c r="J40" s="49"/>
      <c r="K40" s="49"/>
      <c r="L40" s="49"/>
      <c r="M40" s="49"/>
      <c r="N40" s="49"/>
      <c r="O40" s="49"/>
      <c r="P40" s="49"/>
      <c r="Q40" s="49"/>
      <c r="R40" s="49"/>
      <c r="S40" s="49"/>
      <c r="T40" s="49"/>
      <c r="U40" s="233"/>
      <c r="V40" s="49"/>
      <c r="W40" s="49"/>
      <c r="X40" s="49"/>
      <c r="Y40" s="194"/>
    </row>
    <row r="41" spans="1:26" s="158" customFormat="1" ht="16" thickBot="1">
      <c r="A41" s="49"/>
      <c r="B41" s="367" t="s">
        <v>192</v>
      </c>
      <c r="C41" s="368"/>
      <c r="D41" s="369"/>
      <c r="E41" s="367" t="s">
        <v>18</v>
      </c>
      <c r="F41" s="368"/>
      <c r="G41" s="368"/>
      <c r="H41" s="368"/>
      <c r="I41" s="368"/>
      <c r="J41" s="369"/>
      <c r="K41" s="172" t="s">
        <v>171</v>
      </c>
      <c r="L41" s="172" t="s">
        <v>171</v>
      </c>
      <c r="M41" s="172" t="s">
        <v>171</v>
      </c>
      <c r="N41" s="49"/>
      <c r="O41" s="49"/>
      <c r="P41" s="49"/>
      <c r="Q41" s="49"/>
      <c r="R41" s="49"/>
      <c r="S41" s="49"/>
      <c r="T41" s="49"/>
      <c r="U41" s="233"/>
      <c r="V41" s="49"/>
      <c r="W41" s="49"/>
      <c r="X41" s="49"/>
      <c r="Y41" s="263"/>
      <c r="Z41" s="194"/>
    </row>
    <row r="42" spans="1:26" s="194" customFormat="1" ht="33" thickBot="1">
      <c r="A42" s="170" t="s">
        <v>143</v>
      </c>
      <c r="B42" s="171" t="s">
        <v>182</v>
      </c>
      <c r="C42" s="176" t="s">
        <v>228</v>
      </c>
      <c r="D42" s="185" t="s">
        <v>229</v>
      </c>
      <c r="E42" s="197" t="s">
        <v>240</v>
      </c>
      <c r="F42" s="196" t="s">
        <v>241</v>
      </c>
      <c r="G42" s="176" t="s">
        <v>242</v>
      </c>
      <c r="H42" s="176" t="s">
        <v>243</v>
      </c>
      <c r="I42" s="176" t="s">
        <v>253</v>
      </c>
      <c r="J42" s="176" t="s">
        <v>254</v>
      </c>
      <c r="K42" s="186" t="s">
        <v>234</v>
      </c>
      <c r="L42" s="186" t="s">
        <v>289</v>
      </c>
      <c r="M42" s="186" t="s">
        <v>290</v>
      </c>
      <c r="N42" s="173" t="s">
        <v>144</v>
      </c>
      <c r="O42" s="49"/>
      <c r="P42" s="49"/>
      <c r="Q42" s="49"/>
      <c r="R42" s="49"/>
      <c r="S42" s="49"/>
      <c r="T42" s="49"/>
      <c r="U42" s="158"/>
      <c r="V42" s="49"/>
      <c r="W42" s="49"/>
      <c r="X42" s="49"/>
      <c r="Z42" s="263"/>
    </row>
    <row r="43" spans="1:26" s="263" customFormat="1">
      <c r="A43" s="198" t="s">
        <v>309</v>
      </c>
      <c r="B43" s="165">
        <f t="shared" ref="B43:B68" si="1">VLOOKUP(A43,$A$3:$D$29,2,FALSE)</f>
        <v>4</v>
      </c>
      <c r="C43" s="165">
        <f t="shared" ref="C43:C68" si="2">VLOOKUP(A43,$A$3:$D$29,4,FALSE)</f>
        <v>0</v>
      </c>
      <c r="D43" s="165">
        <f t="shared" ref="D43:D68" si="3">VLOOKUP(A43,$A$3:$D$29,3,FALSE)</f>
        <v>0</v>
      </c>
      <c r="E43" s="107">
        <f t="shared" ref="E43:E68" si="4">VLOOKUP(A43,$F$3:$L$29,3,FALSE)</f>
        <v>0</v>
      </c>
      <c r="F43" s="107">
        <f t="shared" ref="F43:F68" si="5">VLOOKUP(A43,$F$3:$L$29,2,FALSE)</f>
        <v>0</v>
      </c>
      <c r="G43" s="107">
        <f t="shared" ref="G43:G68" si="6">VLOOKUP(A43,$F$3:$L$29,4,FALSE)</f>
        <v>0</v>
      </c>
      <c r="H43" s="107">
        <f t="shared" ref="H43:H68" si="7">VLOOKUP(A43,$F$3:$L$29,5,FALSE)</f>
        <v>0</v>
      </c>
      <c r="I43" s="107">
        <f t="shared" ref="I43:I68" si="8">VLOOKUP(A43,$F$3:$L$29,6,FALSE)</f>
        <v>0</v>
      </c>
      <c r="J43" s="107">
        <f t="shared" ref="J43:J68" si="9">VLOOKUP(A43,$F$3:$L$29,7,FALSE)</f>
        <v>0</v>
      </c>
      <c r="K43" s="165">
        <f t="shared" ref="K43:K68" si="10">VLOOKUP(A43,$F$3:$P$29,9,FALSE)</f>
        <v>0</v>
      </c>
      <c r="L43" s="165">
        <f t="shared" ref="L43:L68" si="11">VLOOKUP(A43,$F$3:$P$29,10,FALSE)</f>
        <v>0</v>
      </c>
      <c r="M43" s="147">
        <f t="shared" ref="M43:M68" si="12">VLOOKUP(A43,$F$3:$P$28,11,FALSE)</f>
        <v>0</v>
      </c>
      <c r="N43" s="163">
        <f t="shared" ref="N43:N68" si="13">SUM(B43:M43)</f>
        <v>4</v>
      </c>
      <c r="O43" s="49"/>
      <c r="P43" s="49"/>
      <c r="Q43" s="49"/>
      <c r="R43" s="49"/>
      <c r="S43" s="49"/>
      <c r="T43" s="49"/>
      <c r="U43" s="158"/>
      <c r="V43" s="49"/>
      <c r="W43" s="49"/>
      <c r="X43" s="49"/>
      <c r="Y43" s="194"/>
      <c r="Z43" s="194"/>
    </row>
    <row r="44" spans="1:26" s="263" customFormat="1">
      <c r="A44" s="198" t="s">
        <v>332</v>
      </c>
      <c r="B44" s="165">
        <f t="shared" si="1"/>
        <v>0</v>
      </c>
      <c r="C44" s="165">
        <f t="shared" si="2"/>
        <v>0</v>
      </c>
      <c r="D44" s="165">
        <f t="shared" si="3"/>
        <v>0</v>
      </c>
      <c r="E44" s="107">
        <f t="shared" si="4"/>
        <v>0</v>
      </c>
      <c r="F44" s="107">
        <f t="shared" si="5"/>
        <v>0</v>
      </c>
      <c r="G44" s="107">
        <f t="shared" si="6"/>
        <v>0</v>
      </c>
      <c r="H44" s="107">
        <f t="shared" si="7"/>
        <v>0</v>
      </c>
      <c r="I44" s="107">
        <f t="shared" si="8"/>
        <v>0</v>
      </c>
      <c r="J44" s="107">
        <f t="shared" si="9"/>
        <v>0</v>
      </c>
      <c r="K44" s="165">
        <f t="shared" si="10"/>
        <v>0</v>
      </c>
      <c r="L44" s="165">
        <f t="shared" si="11"/>
        <v>0</v>
      </c>
      <c r="M44" s="147">
        <f t="shared" si="12"/>
        <v>0</v>
      </c>
      <c r="N44" s="163">
        <f t="shared" ref="N44" si="14">SUM(B44:M44)</f>
        <v>0</v>
      </c>
      <c r="O44" s="49"/>
      <c r="P44" s="49"/>
      <c r="Q44" s="49"/>
      <c r="R44" s="49"/>
      <c r="S44" s="49"/>
      <c r="T44" s="49"/>
      <c r="U44" s="158"/>
      <c r="V44" s="49"/>
      <c r="W44" s="49"/>
      <c r="X44" s="49"/>
      <c r="Y44" s="194"/>
      <c r="Z44" s="194"/>
    </row>
    <row r="45" spans="1:26" s="263" customFormat="1">
      <c r="A45" s="198" t="s">
        <v>269</v>
      </c>
      <c r="B45" s="165">
        <f t="shared" si="1"/>
        <v>14</v>
      </c>
      <c r="C45" s="165">
        <f t="shared" si="2"/>
        <v>0</v>
      </c>
      <c r="D45" s="165">
        <f t="shared" si="3"/>
        <v>0</v>
      </c>
      <c r="E45" s="107">
        <f t="shared" si="4"/>
        <v>0</v>
      </c>
      <c r="F45" s="107">
        <f t="shared" si="5"/>
        <v>36</v>
      </c>
      <c r="G45" s="107">
        <f t="shared" si="6"/>
        <v>0</v>
      </c>
      <c r="H45" s="107">
        <f t="shared" si="7"/>
        <v>0</v>
      </c>
      <c r="I45" s="107">
        <f t="shared" si="8"/>
        <v>0</v>
      </c>
      <c r="J45" s="107">
        <f t="shared" si="9"/>
        <v>0</v>
      </c>
      <c r="K45" s="165">
        <f t="shared" si="10"/>
        <v>0</v>
      </c>
      <c r="L45" s="165">
        <f t="shared" si="11"/>
        <v>0</v>
      </c>
      <c r="M45" s="147">
        <f t="shared" si="12"/>
        <v>0</v>
      </c>
      <c r="N45" s="163">
        <f t="shared" ref="N45" si="15">SUM(B45:M45)</f>
        <v>50</v>
      </c>
      <c r="O45" s="49"/>
      <c r="P45" s="49"/>
      <c r="Q45" s="49"/>
      <c r="R45" s="49"/>
      <c r="S45" s="49"/>
      <c r="T45" s="49"/>
      <c r="U45" s="158"/>
      <c r="V45" s="49"/>
      <c r="W45" s="49"/>
      <c r="X45" s="49"/>
      <c r="Y45" s="194"/>
      <c r="Z45" s="194"/>
    </row>
    <row r="46" spans="1:26" s="194" customFormat="1">
      <c r="A46" s="198" t="s">
        <v>333</v>
      </c>
      <c r="B46" s="165">
        <f t="shared" si="1"/>
        <v>1</v>
      </c>
      <c r="C46" s="165">
        <f t="shared" si="2"/>
        <v>0</v>
      </c>
      <c r="D46" s="165">
        <f t="shared" si="3"/>
        <v>0</v>
      </c>
      <c r="E46" s="107">
        <f t="shared" si="4"/>
        <v>0</v>
      </c>
      <c r="F46" s="107">
        <f t="shared" si="5"/>
        <v>0</v>
      </c>
      <c r="G46" s="107">
        <f t="shared" si="6"/>
        <v>0</v>
      </c>
      <c r="H46" s="107">
        <f t="shared" si="7"/>
        <v>0</v>
      </c>
      <c r="I46" s="107">
        <f t="shared" si="8"/>
        <v>0</v>
      </c>
      <c r="J46" s="107">
        <f t="shared" si="9"/>
        <v>0</v>
      </c>
      <c r="K46" s="165">
        <f t="shared" si="10"/>
        <v>0</v>
      </c>
      <c r="L46" s="165">
        <f t="shared" si="11"/>
        <v>0</v>
      </c>
      <c r="M46" s="147">
        <f t="shared" si="12"/>
        <v>0</v>
      </c>
      <c r="N46" s="163">
        <f t="shared" si="13"/>
        <v>1</v>
      </c>
      <c r="O46" s="49"/>
      <c r="P46" s="49"/>
      <c r="Q46" s="217">
        <f>Q30-S36</f>
        <v>-0.25</v>
      </c>
      <c r="R46" s="49"/>
      <c r="S46" s="49"/>
      <c r="T46" s="49"/>
      <c r="U46" s="158"/>
      <c r="V46" s="49"/>
      <c r="W46" s="49"/>
      <c r="X46" s="49"/>
    </row>
    <row r="47" spans="1:26" s="194" customFormat="1" ht="18.75" customHeight="1">
      <c r="A47" s="198" t="s">
        <v>327</v>
      </c>
      <c r="B47" s="165">
        <f t="shared" si="1"/>
        <v>2</v>
      </c>
      <c r="C47" s="165">
        <f t="shared" si="2"/>
        <v>0</v>
      </c>
      <c r="D47" s="165">
        <f t="shared" si="3"/>
        <v>0</v>
      </c>
      <c r="E47" s="107">
        <f t="shared" si="4"/>
        <v>0</v>
      </c>
      <c r="F47" s="107">
        <f t="shared" si="5"/>
        <v>0</v>
      </c>
      <c r="G47" s="107">
        <f t="shared" si="6"/>
        <v>0</v>
      </c>
      <c r="H47" s="107">
        <f t="shared" si="7"/>
        <v>0</v>
      </c>
      <c r="I47" s="107">
        <f t="shared" si="8"/>
        <v>0</v>
      </c>
      <c r="J47" s="107">
        <f t="shared" si="9"/>
        <v>0</v>
      </c>
      <c r="K47" s="165">
        <f t="shared" si="10"/>
        <v>0</v>
      </c>
      <c r="L47" s="165">
        <f t="shared" si="11"/>
        <v>0</v>
      </c>
      <c r="M47" s="147">
        <f t="shared" si="12"/>
        <v>0</v>
      </c>
      <c r="N47" s="163">
        <f t="shared" si="13"/>
        <v>2</v>
      </c>
      <c r="O47" s="49"/>
      <c r="P47" s="49"/>
      <c r="Q47" s="49"/>
      <c r="R47" s="49"/>
      <c r="S47" s="49"/>
      <c r="T47" s="49"/>
      <c r="U47" s="158"/>
      <c r="V47" s="49"/>
      <c r="W47" s="49"/>
      <c r="X47" s="49"/>
    </row>
    <row r="48" spans="1:26" s="194" customFormat="1">
      <c r="A48" s="198" t="s">
        <v>329</v>
      </c>
      <c r="B48" s="165">
        <f t="shared" si="1"/>
        <v>2</v>
      </c>
      <c r="C48" s="165">
        <f t="shared" si="2"/>
        <v>0</v>
      </c>
      <c r="D48" s="165">
        <f t="shared" si="3"/>
        <v>0</v>
      </c>
      <c r="E48" s="107">
        <f t="shared" si="4"/>
        <v>0</v>
      </c>
      <c r="F48" s="107">
        <f t="shared" si="5"/>
        <v>0</v>
      </c>
      <c r="G48" s="107">
        <f t="shared" si="6"/>
        <v>0</v>
      </c>
      <c r="H48" s="107">
        <f t="shared" si="7"/>
        <v>0</v>
      </c>
      <c r="I48" s="107">
        <f t="shared" si="8"/>
        <v>0</v>
      </c>
      <c r="J48" s="107">
        <f t="shared" si="9"/>
        <v>0</v>
      </c>
      <c r="K48" s="165">
        <f t="shared" si="10"/>
        <v>0</v>
      </c>
      <c r="L48" s="165">
        <f t="shared" si="11"/>
        <v>0</v>
      </c>
      <c r="M48" s="147">
        <f t="shared" si="12"/>
        <v>0</v>
      </c>
      <c r="N48" s="163">
        <f t="shared" si="13"/>
        <v>2</v>
      </c>
      <c r="O48" s="49"/>
      <c r="P48" s="49"/>
      <c r="Q48" s="49"/>
      <c r="R48" s="49"/>
      <c r="S48" s="49"/>
      <c r="T48" s="49"/>
      <c r="U48" s="158"/>
      <c r="V48" s="49"/>
      <c r="W48" s="49"/>
      <c r="X48" s="49"/>
      <c r="Y48" s="158"/>
    </row>
    <row r="49" spans="1:26" s="194" customFormat="1">
      <c r="A49" s="198" t="s">
        <v>334</v>
      </c>
      <c r="B49" s="165">
        <f t="shared" si="1"/>
        <v>0</v>
      </c>
      <c r="C49" s="165">
        <f t="shared" si="2"/>
        <v>0</v>
      </c>
      <c r="D49" s="165">
        <f t="shared" si="3"/>
        <v>0</v>
      </c>
      <c r="E49" s="107">
        <f t="shared" si="4"/>
        <v>0</v>
      </c>
      <c r="F49" s="107">
        <f t="shared" si="5"/>
        <v>1</v>
      </c>
      <c r="G49" s="107">
        <f t="shared" si="6"/>
        <v>0</v>
      </c>
      <c r="H49" s="107">
        <f t="shared" si="7"/>
        <v>0</v>
      </c>
      <c r="I49" s="107">
        <f t="shared" si="8"/>
        <v>0</v>
      </c>
      <c r="J49" s="107">
        <f t="shared" si="9"/>
        <v>0</v>
      </c>
      <c r="K49" s="165">
        <f t="shared" si="10"/>
        <v>1</v>
      </c>
      <c r="L49" s="165">
        <f t="shared" si="11"/>
        <v>0</v>
      </c>
      <c r="M49" s="147">
        <f t="shared" si="12"/>
        <v>0</v>
      </c>
      <c r="N49" s="163">
        <f t="shared" si="13"/>
        <v>2</v>
      </c>
      <c r="O49" s="49"/>
      <c r="P49" s="49"/>
      <c r="Q49" s="49"/>
      <c r="R49" s="49"/>
      <c r="S49" s="49"/>
      <c r="T49" s="49"/>
      <c r="U49" s="158"/>
      <c r="V49" s="49"/>
      <c r="W49" s="49"/>
      <c r="X49" s="49"/>
      <c r="Y49" s="158"/>
      <c r="Z49" s="158"/>
    </row>
    <row r="50" spans="1:26" s="158" customFormat="1">
      <c r="A50" s="198" t="s">
        <v>311</v>
      </c>
      <c r="B50" s="165">
        <f t="shared" si="1"/>
        <v>35</v>
      </c>
      <c r="C50" s="165">
        <f t="shared" si="2"/>
        <v>0</v>
      </c>
      <c r="D50" s="165">
        <f t="shared" si="3"/>
        <v>0</v>
      </c>
      <c r="E50" s="107">
        <f t="shared" si="4"/>
        <v>0</v>
      </c>
      <c r="F50" s="107">
        <f t="shared" si="5"/>
        <v>27</v>
      </c>
      <c r="G50" s="107">
        <f t="shared" si="6"/>
        <v>0</v>
      </c>
      <c r="H50" s="107">
        <f t="shared" si="7"/>
        <v>0</v>
      </c>
      <c r="I50" s="107">
        <f t="shared" si="8"/>
        <v>0</v>
      </c>
      <c r="J50" s="107">
        <f t="shared" si="9"/>
        <v>0</v>
      </c>
      <c r="K50" s="165">
        <f t="shared" si="10"/>
        <v>0</v>
      </c>
      <c r="L50" s="165">
        <f t="shared" si="11"/>
        <v>0</v>
      </c>
      <c r="M50" s="147">
        <f t="shared" si="12"/>
        <v>0</v>
      </c>
      <c r="N50" s="163">
        <f t="shared" si="13"/>
        <v>62</v>
      </c>
      <c r="O50" s="49"/>
      <c r="P50" s="49"/>
      <c r="Q50" s="49"/>
      <c r="R50" s="49"/>
      <c r="S50" s="49"/>
      <c r="T50" s="49"/>
      <c r="U50" s="194"/>
      <c r="V50" s="49"/>
      <c r="W50" s="49"/>
      <c r="X50" s="49"/>
    </row>
    <row r="51" spans="1:26" s="158" customFormat="1">
      <c r="A51" s="198" t="s">
        <v>277</v>
      </c>
      <c r="B51" s="165">
        <f t="shared" si="1"/>
        <v>8</v>
      </c>
      <c r="C51" s="165">
        <f t="shared" si="2"/>
        <v>0</v>
      </c>
      <c r="D51" s="165">
        <f t="shared" si="3"/>
        <v>0</v>
      </c>
      <c r="E51" s="107">
        <f t="shared" si="4"/>
        <v>0</v>
      </c>
      <c r="F51" s="107">
        <f t="shared" si="5"/>
        <v>0</v>
      </c>
      <c r="G51" s="107">
        <f t="shared" si="6"/>
        <v>0</v>
      </c>
      <c r="H51" s="107">
        <f t="shared" si="7"/>
        <v>0</v>
      </c>
      <c r="I51" s="107">
        <f t="shared" si="8"/>
        <v>0</v>
      </c>
      <c r="J51" s="107">
        <f t="shared" si="9"/>
        <v>0</v>
      </c>
      <c r="K51" s="165">
        <f t="shared" si="10"/>
        <v>0</v>
      </c>
      <c r="L51" s="165">
        <f t="shared" si="11"/>
        <v>0</v>
      </c>
      <c r="M51" s="147">
        <f t="shared" si="12"/>
        <v>0</v>
      </c>
      <c r="N51" s="163">
        <f t="shared" si="13"/>
        <v>8</v>
      </c>
      <c r="O51" s="49"/>
      <c r="P51" s="49"/>
      <c r="Q51" s="49"/>
      <c r="R51" s="49"/>
      <c r="S51" s="49"/>
      <c r="T51" s="49"/>
      <c r="U51" s="49"/>
      <c r="V51" s="49"/>
      <c r="W51" s="49"/>
      <c r="X51" s="49"/>
    </row>
    <row r="52" spans="1:26" s="158" customFormat="1">
      <c r="A52" s="198" t="s">
        <v>328</v>
      </c>
      <c r="B52" s="165">
        <f t="shared" si="1"/>
        <v>2</v>
      </c>
      <c r="C52" s="165">
        <f t="shared" si="2"/>
        <v>0</v>
      </c>
      <c r="D52" s="165">
        <f t="shared" si="3"/>
        <v>0</v>
      </c>
      <c r="E52" s="107">
        <f t="shared" si="4"/>
        <v>0</v>
      </c>
      <c r="F52" s="107">
        <f t="shared" si="5"/>
        <v>0</v>
      </c>
      <c r="G52" s="107">
        <f t="shared" si="6"/>
        <v>0</v>
      </c>
      <c r="H52" s="107">
        <f t="shared" si="7"/>
        <v>0</v>
      </c>
      <c r="I52" s="107">
        <f t="shared" si="8"/>
        <v>0</v>
      </c>
      <c r="J52" s="107">
        <f t="shared" si="9"/>
        <v>0</v>
      </c>
      <c r="K52" s="165">
        <f t="shared" si="10"/>
        <v>0</v>
      </c>
      <c r="L52" s="165">
        <f t="shared" si="11"/>
        <v>0</v>
      </c>
      <c r="M52" s="147">
        <f t="shared" si="12"/>
        <v>0</v>
      </c>
      <c r="N52" s="163">
        <f t="shared" si="13"/>
        <v>2</v>
      </c>
      <c r="O52" s="49"/>
      <c r="P52" s="49"/>
      <c r="Q52" s="49"/>
      <c r="R52" s="49"/>
      <c r="S52" s="49"/>
      <c r="T52" s="49"/>
      <c r="U52" s="49"/>
      <c r="V52" s="49"/>
      <c r="W52" s="49"/>
      <c r="X52" s="49"/>
    </row>
    <row r="53" spans="1:26" s="158" customFormat="1">
      <c r="A53" s="198" t="s">
        <v>299</v>
      </c>
      <c r="B53" s="165">
        <f t="shared" si="1"/>
        <v>8</v>
      </c>
      <c r="C53" s="165">
        <f t="shared" si="2"/>
        <v>0</v>
      </c>
      <c r="D53" s="165">
        <f t="shared" si="3"/>
        <v>0</v>
      </c>
      <c r="E53" s="107">
        <f t="shared" si="4"/>
        <v>0</v>
      </c>
      <c r="F53" s="107">
        <f t="shared" si="5"/>
        <v>0</v>
      </c>
      <c r="G53" s="107">
        <f t="shared" si="6"/>
        <v>0</v>
      </c>
      <c r="H53" s="107">
        <f t="shared" si="7"/>
        <v>0</v>
      </c>
      <c r="I53" s="107">
        <f t="shared" si="8"/>
        <v>0</v>
      </c>
      <c r="J53" s="107">
        <f t="shared" si="9"/>
        <v>0</v>
      </c>
      <c r="K53" s="165">
        <f t="shared" si="10"/>
        <v>0</v>
      </c>
      <c r="L53" s="165">
        <f t="shared" si="11"/>
        <v>0</v>
      </c>
      <c r="M53" s="147">
        <f t="shared" si="12"/>
        <v>0</v>
      </c>
      <c r="N53" s="163">
        <f t="shared" si="13"/>
        <v>8</v>
      </c>
      <c r="O53" s="49"/>
      <c r="P53" s="49"/>
      <c r="Q53" s="49"/>
      <c r="R53" s="49"/>
      <c r="S53" s="49"/>
      <c r="T53" s="49"/>
      <c r="U53" s="49"/>
      <c r="V53" s="49"/>
      <c r="W53" s="49"/>
      <c r="X53" s="49"/>
    </row>
    <row r="54" spans="1:26" s="158" customFormat="1">
      <c r="A54" s="198" t="s">
        <v>232</v>
      </c>
      <c r="B54" s="165">
        <f t="shared" si="1"/>
        <v>18</v>
      </c>
      <c r="C54" s="165">
        <f t="shared" si="2"/>
        <v>0</v>
      </c>
      <c r="D54" s="165">
        <f t="shared" si="3"/>
        <v>0</v>
      </c>
      <c r="E54" s="107">
        <f t="shared" si="4"/>
        <v>0</v>
      </c>
      <c r="F54" s="107">
        <f t="shared" si="5"/>
        <v>0</v>
      </c>
      <c r="G54" s="107">
        <f t="shared" si="6"/>
        <v>0</v>
      </c>
      <c r="H54" s="107">
        <f t="shared" si="7"/>
        <v>0</v>
      </c>
      <c r="I54" s="107">
        <f t="shared" si="8"/>
        <v>0</v>
      </c>
      <c r="J54" s="107">
        <f t="shared" si="9"/>
        <v>0</v>
      </c>
      <c r="K54" s="165">
        <f t="shared" si="10"/>
        <v>0</v>
      </c>
      <c r="L54" s="165">
        <f t="shared" si="11"/>
        <v>0</v>
      </c>
      <c r="M54" s="147">
        <f t="shared" si="12"/>
        <v>0</v>
      </c>
      <c r="N54" s="163">
        <f t="shared" si="13"/>
        <v>18</v>
      </c>
      <c r="O54" s="49"/>
      <c r="P54" s="49"/>
      <c r="Q54" s="49"/>
      <c r="R54" s="49"/>
      <c r="S54" s="49"/>
      <c r="T54" s="49"/>
      <c r="U54" s="49"/>
      <c r="V54" s="49"/>
      <c r="W54" s="49"/>
      <c r="X54" s="49"/>
    </row>
    <row r="55" spans="1:26" s="158" customFormat="1">
      <c r="A55" s="198" t="s">
        <v>272</v>
      </c>
      <c r="B55" s="165">
        <f t="shared" si="1"/>
        <v>10</v>
      </c>
      <c r="C55" s="165">
        <f t="shared" si="2"/>
        <v>0</v>
      </c>
      <c r="D55" s="165">
        <f t="shared" si="3"/>
        <v>0</v>
      </c>
      <c r="E55" s="107">
        <f t="shared" si="4"/>
        <v>0</v>
      </c>
      <c r="F55" s="107">
        <f t="shared" si="5"/>
        <v>0</v>
      </c>
      <c r="G55" s="107">
        <f t="shared" si="6"/>
        <v>0</v>
      </c>
      <c r="H55" s="107">
        <f t="shared" si="7"/>
        <v>0</v>
      </c>
      <c r="I55" s="107">
        <f t="shared" si="8"/>
        <v>0</v>
      </c>
      <c r="J55" s="107">
        <f t="shared" si="9"/>
        <v>0</v>
      </c>
      <c r="K55" s="165">
        <f t="shared" si="10"/>
        <v>0</v>
      </c>
      <c r="L55" s="165">
        <f t="shared" si="11"/>
        <v>0</v>
      </c>
      <c r="M55" s="147">
        <f t="shared" si="12"/>
        <v>0</v>
      </c>
      <c r="N55" s="163">
        <f t="shared" ref="N55" si="16">SUM(B55:M55)</f>
        <v>10</v>
      </c>
      <c r="O55" s="49"/>
      <c r="P55" s="49"/>
      <c r="Q55" s="49"/>
      <c r="R55" s="49"/>
      <c r="S55" s="49"/>
      <c r="T55" s="49"/>
      <c r="U55" s="49"/>
      <c r="V55" s="49"/>
      <c r="W55" s="49"/>
      <c r="X55" s="49"/>
    </row>
    <row r="56" spans="1:26" s="158" customFormat="1">
      <c r="A56" s="198" t="s">
        <v>280</v>
      </c>
      <c r="B56" s="165">
        <f t="shared" si="1"/>
        <v>4</v>
      </c>
      <c r="C56" s="165">
        <f t="shared" si="2"/>
        <v>0</v>
      </c>
      <c r="D56" s="165">
        <f t="shared" si="3"/>
        <v>0</v>
      </c>
      <c r="E56" s="107">
        <f t="shared" si="4"/>
        <v>0</v>
      </c>
      <c r="F56" s="107">
        <f t="shared" si="5"/>
        <v>0</v>
      </c>
      <c r="G56" s="107">
        <f t="shared" si="6"/>
        <v>0</v>
      </c>
      <c r="H56" s="107">
        <f t="shared" si="7"/>
        <v>0</v>
      </c>
      <c r="I56" s="107">
        <f t="shared" si="8"/>
        <v>0</v>
      </c>
      <c r="J56" s="107">
        <f t="shared" si="9"/>
        <v>0</v>
      </c>
      <c r="K56" s="165">
        <f t="shared" si="10"/>
        <v>0</v>
      </c>
      <c r="L56" s="165">
        <f t="shared" si="11"/>
        <v>0</v>
      </c>
      <c r="M56" s="147">
        <f t="shared" si="12"/>
        <v>0</v>
      </c>
      <c r="N56" s="163">
        <f t="shared" si="13"/>
        <v>4</v>
      </c>
      <c r="O56" s="49"/>
      <c r="P56" s="49"/>
      <c r="Q56" s="49"/>
      <c r="R56" s="49"/>
      <c r="S56" s="49"/>
      <c r="T56" s="49"/>
      <c r="U56" s="49"/>
      <c r="V56" s="49"/>
      <c r="W56" s="49"/>
      <c r="X56" s="49"/>
    </row>
    <row r="57" spans="1:26" s="158" customFormat="1">
      <c r="A57" s="198" t="s">
        <v>227</v>
      </c>
      <c r="B57" s="165">
        <f t="shared" si="1"/>
        <v>9</v>
      </c>
      <c r="C57" s="165">
        <f t="shared" si="2"/>
        <v>0</v>
      </c>
      <c r="D57" s="165">
        <f t="shared" si="3"/>
        <v>0</v>
      </c>
      <c r="E57" s="107">
        <f t="shared" si="4"/>
        <v>0</v>
      </c>
      <c r="F57" s="107">
        <f t="shared" si="5"/>
        <v>20</v>
      </c>
      <c r="G57" s="107">
        <f t="shared" si="6"/>
        <v>0</v>
      </c>
      <c r="H57" s="107">
        <f t="shared" si="7"/>
        <v>0</v>
      </c>
      <c r="I57" s="107">
        <f t="shared" si="8"/>
        <v>0</v>
      </c>
      <c r="J57" s="107">
        <f t="shared" si="9"/>
        <v>0</v>
      </c>
      <c r="K57" s="165">
        <f t="shared" si="10"/>
        <v>10</v>
      </c>
      <c r="L57" s="165">
        <f t="shared" si="11"/>
        <v>0</v>
      </c>
      <c r="M57" s="147">
        <f t="shared" si="12"/>
        <v>0</v>
      </c>
      <c r="N57" s="163">
        <f t="shared" si="13"/>
        <v>39</v>
      </c>
      <c r="O57" s="49"/>
      <c r="P57" s="49"/>
      <c r="Q57" s="49"/>
      <c r="R57" s="49"/>
      <c r="S57" s="49"/>
      <c r="T57" s="49"/>
      <c r="U57" s="49"/>
      <c r="V57" s="49"/>
      <c r="W57" s="49"/>
      <c r="X57" s="49"/>
    </row>
    <row r="58" spans="1:26" s="158" customFormat="1">
      <c r="A58" s="198" t="s">
        <v>303</v>
      </c>
      <c r="B58" s="165">
        <f t="shared" si="1"/>
        <v>6</v>
      </c>
      <c r="C58" s="165">
        <f t="shared" si="2"/>
        <v>0</v>
      </c>
      <c r="D58" s="165">
        <f t="shared" si="3"/>
        <v>0</v>
      </c>
      <c r="E58" s="107">
        <f t="shared" si="4"/>
        <v>0</v>
      </c>
      <c r="F58" s="107">
        <f t="shared" si="5"/>
        <v>0</v>
      </c>
      <c r="G58" s="107">
        <f t="shared" si="6"/>
        <v>0</v>
      </c>
      <c r="H58" s="107">
        <f t="shared" si="7"/>
        <v>0</v>
      </c>
      <c r="I58" s="107">
        <f t="shared" si="8"/>
        <v>0</v>
      </c>
      <c r="J58" s="107">
        <f t="shared" si="9"/>
        <v>0</v>
      </c>
      <c r="K58" s="165">
        <f t="shared" si="10"/>
        <v>0</v>
      </c>
      <c r="L58" s="165">
        <f t="shared" si="11"/>
        <v>0</v>
      </c>
      <c r="M58" s="147">
        <f t="shared" si="12"/>
        <v>0</v>
      </c>
      <c r="N58" s="163">
        <f t="shared" si="13"/>
        <v>6</v>
      </c>
      <c r="O58" s="49"/>
      <c r="P58" s="49"/>
      <c r="Q58" s="49"/>
      <c r="R58" s="49"/>
      <c r="S58" s="49"/>
      <c r="T58" s="49"/>
      <c r="U58" s="49"/>
      <c r="V58" s="49"/>
      <c r="W58" s="49"/>
      <c r="X58" s="49"/>
      <c r="Y58" s="49"/>
    </row>
    <row r="59" spans="1:26" s="158" customFormat="1">
      <c r="A59" s="198" t="s">
        <v>278</v>
      </c>
      <c r="B59" s="165">
        <f t="shared" si="1"/>
        <v>0</v>
      </c>
      <c r="C59" s="165">
        <f t="shared" si="2"/>
        <v>0</v>
      </c>
      <c r="D59" s="165">
        <f t="shared" si="3"/>
        <v>0</v>
      </c>
      <c r="E59" s="107">
        <f t="shared" si="4"/>
        <v>0</v>
      </c>
      <c r="F59" s="107">
        <f t="shared" si="5"/>
        <v>85</v>
      </c>
      <c r="G59" s="107">
        <f t="shared" si="6"/>
        <v>0</v>
      </c>
      <c r="H59" s="107">
        <f t="shared" si="7"/>
        <v>0</v>
      </c>
      <c r="I59" s="107">
        <f t="shared" si="8"/>
        <v>0</v>
      </c>
      <c r="J59" s="107">
        <f t="shared" si="9"/>
        <v>0</v>
      </c>
      <c r="K59" s="165">
        <f t="shared" si="10"/>
        <v>10</v>
      </c>
      <c r="L59" s="165">
        <f t="shared" si="11"/>
        <v>0</v>
      </c>
      <c r="M59" s="147">
        <f t="shared" si="12"/>
        <v>0</v>
      </c>
      <c r="N59" s="163">
        <f t="shared" si="13"/>
        <v>95</v>
      </c>
      <c r="O59" s="49"/>
      <c r="P59" s="49"/>
      <c r="Q59" s="49"/>
      <c r="R59" s="49"/>
      <c r="S59" s="49"/>
      <c r="T59" s="49"/>
      <c r="U59" s="49"/>
      <c r="V59" s="49"/>
      <c r="W59" s="49"/>
      <c r="X59" s="49"/>
      <c r="Y59" s="49"/>
      <c r="Z59" s="194"/>
    </row>
    <row r="60" spans="1:26" s="194" customFormat="1">
      <c r="A60" s="198" t="s">
        <v>274</v>
      </c>
      <c r="B60" s="165">
        <f t="shared" si="1"/>
        <v>0</v>
      </c>
      <c r="C60" s="165">
        <f t="shared" si="2"/>
        <v>0</v>
      </c>
      <c r="D60" s="165">
        <f t="shared" si="3"/>
        <v>0</v>
      </c>
      <c r="E60" s="107">
        <f t="shared" si="4"/>
        <v>0</v>
      </c>
      <c r="F60" s="107">
        <f t="shared" si="5"/>
        <v>10</v>
      </c>
      <c r="G60" s="107">
        <f t="shared" si="6"/>
        <v>0</v>
      </c>
      <c r="H60" s="107">
        <f t="shared" si="7"/>
        <v>0</v>
      </c>
      <c r="I60" s="107">
        <f t="shared" si="8"/>
        <v>0</v>
      </c>
      <c r="J60" s="107">
        <f t="shared" si="9"/>
        <v>0</v>
      </c>
      <c r="K60" s="165">
        <f t="shared" si="10"/>
        <v>0</v>
      </c>
      <c r="L60" s="165">
        <f t="shared" si="11"/>
        <v>47.5</v>
      </c>
      <c r="M60" s="147">
        <f t="shared" si="12"/>
        <v>0</v>
      </c>
      <c r="N60" s="163">
        <f t="shared" si="13"/>
        <v>57.5</v>
      </c>
      <c r="O60" s="49"/>
      <c r="P60" s="49"/>
      <c r="Q60" s="49"/>
      <c r="R60" s="49"/>
      <c r="S60" s="49"/>
      <c r="T60" s="49"/>
      <c r="U60" s="49"/>
      <c r="V60" s="49"/>
      <c r="W60" s="49"/>
      <c r="X60" s="49"/>
      <c r="Y60" s="49"/>
    </row>
    <row r="61" spans="1:26" s="194" customFormat="1">
      <c r="A61" s="198" t="s">
        <v>279</v>
      </c>
      <c r="B61" s="165">
        <f t="shared" si="1"/>
        <v>0</v>
      </c>
      <c r="C61" s="165">
        <f t="shared" si="2"/>
        <v>0</v>
      </c>
      <c r="D61" s="165">
        <f t="shared" si="3"/>
        <v>0</v>
      </c>
      <c r="E61" s="107">
        <f t="shared" si="4"/>
        <v>0</v>
      </c>
      <c r="F61" s="107">
        <f t="shared" si="5"/>
        <v>0</v>
      </c>
      <c r="G61" s="107">
        <f t="shared" si="6"/>
        <v>0</v>
      </c>
      <c r="H61" s="107">
        <f t="shared" si="7"/>
        <v>0</v>
      </c>
      <c r="I61" s="107">
        <f t="shared" si="8"/>
        <v>0</v>
      </c>
      <c r="J61" s="107">
        <f t="shared" si="9"/>
        <v>0</v>
      </c>
      <c r="K61" s="165">
        <f t="shared" si="10"/>
        <v>0</v>
      </c>
      <c r="L61" s="165">
        <f t="shared" si="11"/>
        <v>0</v>
      </c>
      <c r="M61" s="147">
        <f t="shared" si="12"/>
        <v>0</v>
      </c>
      <c r="N61" s="163">
        <f t="shared" si="13"/>
        <v>0</v>
      </c>
      <c r="O61" s="49"/>
      <c r="P61" s="49"/>
      <c r="Q61" s="49"/>
      <c r="R61" s="49"/>
      <c r="S61" s="49"/>
      <c r="T61" s="49"/>
      <c r="U61" s="49"/>
      <c r="V61" s="49"/>
      <c r="W61" s="49"/>
      <c r="X61" s="49"/>
    </row>
    <row r="62" spans="1:26" s="194" customFormat="1">
      <c r="A62" s="198" t="s">
        <v>302</v>
      </c>
      <c r="B62" s="165">
        <f t="shared" si="1"/>
        <v>0</v>
      </c>
      <c r="C62" s="165">
        <f t="shared" si="2"/>
        <v>0</v>
      </c>
      <c r="D62" s="165">
        <f t="shared" si="3"/>
        <v>0</v>
      </c>
      <c r="E62" s="107">
        <f t="shared" si="4"/>
        <v>0</v>
      </c>
      <c r="F62" s="107">
        <f t="shared" si="5"/>
        <v>11</v>
      </c>
      <c r="G62" s="107">
        <f t="shared" si="6"/>
        <v>0</v>
      </c>
      <c r="H62" s="107">
        <f t="shared" si="7"/>
        <v>0</v>
      </c>
      <c r="I62" s="107">
        <f t="shared" si="8"/>
        <v>0</v>
      </c>
      <c r="J62" s="107">
        <f t="shared" si="9"/>
        <v>0</v>
      </c>
      <c r="K62" s="165">
        <f t="shared" si="10"/>
        <v>0</v>
      </c>
      <c r="L62" s="165">
        <f t="shared" si="11"/>
        <v>45.900000000000006</v>
      </c>
      <c r="M62" s="147">
        <f t="shared" si="12"/>
        <v>60</v>
      </c>
      <c r="N62" s="163">
        <f t="shared" si="13"/>
        <v>116.9</v>
      </c>
      <c r="O62" s="49"/>
      <c r="P62" s="49"/>
      <c r="Q62" s="49"/>
      <c r="R62" s="49"/>
      <c r="S62" s="49"/>
      <c r="T62" s="49"/>
      <c r="U62" s="49"/>
      <c r="V62" s="49"/>
      <c r="W62" s="49"/>
      <c r="X62" s="49"/>
    </row>
    <row r="63" spans="1:26" s="194" customFormat="1">
      <c r="A63" s="198" t="s">
        <v>301</v>
      </c>
      <c r="B63" s="165">
        <f t="shared" si="1"/>
        <v>0</v>
      </c>
      <c r="C63" s="165">
        <f t="shared" si="2"/>
        <v>0</v>
      </c>
      <c r="D63" s="165">
        <f t="shared" si="3"/>
        <v>0</v>
      </c>
      <c r="E63" s="107">
        <f t="shared" si="4"/>
        <v>0</v>
      </c>
      <c r="F63" s="107">
        <f t="shared" si="5"/>
        <v>0</v>
      </c>
      <c r="G63" s="107">
        <f t="shared" si="6"/>
        <v>0</v>
      </c>
      <c r="H63" s="107">
        <f t="shared" si="7"/>
        <v>0</v>
      </c>
      <c r="I63" s="107">
        <f t="shared" si="8"/>
        <v>0</v>
      </c>
      <c r="J63" s="107">
        <f t="shared" si="9"/>
        <v>0</v>
      </c>
      <c r="K63" s="165">
        <f t="shared" si="10"/>
        <v>0</v>
      </c>
      <c r="L63" s="165">
        <f t="shared" si="11"/>
        <v>0</v>
      </c>
      <c r="M63" s="147">
        <f t="shared" si="12"/>
        <v>58.75</v>
      </c>
      <c r="N63" s="163">
        <f t="shared" si="13"/>
        <v>58.75</v>
      </c>
      <c r="O63" s="49"/>
      <c r="P63" s="49"/>
      <c r="Q63" s="49"/>
      <c r="R63" s="49"/>
      <c r="S63" s="49"/>
      <c r="T63" s="49"/>
      <c r="U63" s="49"/>
      <c r="V63" s="49"/>
      <c r="W63" s="49"/>
      <c r="X63" s="49"/>
    </row>
    <row r="64" spans="1:26" s="194" customFormat="1">
      <c r="A64" s="198" t="s">
        <v>322</v>
      </c>
      <c r="B64" s="165">
        <f t="shared" si="1"/>
        <v>0</v>
      </c>
      <c r="C64" s="165">
        <f t="shared" si="2"/>
        <v>0</v>
      </c>
      <c r="D64" s="165">
        <f t="shared" si="3"/>
        <v>0</v>
      </c>
      <c r="E64" s="107">
        <f t="shared" si="4"/>
        <v>0</v>
      </c>
      <c r="F64" s="107">
        <f t="shared" si="5"/>
        <v>3</v>
      </c>
      <c r="G64" s="107">
        <f t="shared" si="6"/>
        <v>0</v>
      </c>
      <c r="H64" s="107">
        <f t="shared" si="7"/>
        <v>0</v>
      </c>
      <c r="I64" s="107">
        <f t="shared" si="8"/>
        <v>0</v>
      </c>
      <c r="J64" s="107">
        <f t="shared" si="9"/>
        <v>0</v>
      </c>
      <c r="K64" s="165">
        <f t="shared" si="10"/>
        <v>0</v>
      </c>
      <c r="L64" s="165">
        <f t="shared" si="11"/>
        <v>56.95</v>
      </c>
      <c r="M64" s="147">
        <f t="shared" si="12"/>
        <v>0</v>
      </c>
      <c r="N64" s="163">
        <f t="shared" ref="N64:N65" si="17">SUM(B64:M64)</f>
        <v>59.95</v>
      </c>
      <c r="O64" s="49"/>
      <c r="P64" s="49"/>
      <c r="Q64" s="49"/>
      <c r="R64" s="49"/>
      <c r="S64" s="49"/>
      <c r="T64" s="49"/>
      <c r="U64" s="49"/>
      <c r="V64" s="49"/>
      <c r="W64" s="49"/>
      <c r="X64" s="49"/>
    </row>
    <row r="65" spans="1:26" s="194" customFormat="1">
      <c r="A65" s="198" t="s">
        <v>260</v>
      </c>
      <c r="B65" s="165">
        <f t="shared" si="1"/>
        <v>0</v>
      </c>
      <c r="C65" s="165">
        <f t="shared" si="2"/>
        <v>0</v>
      </c>
      <c r="D65" s="165">
        <f t="shared" si="3"/>
        <v>17</v>
      </c>
      <c r="E65" s="107">
        <f t="shared" si="4"/>
        <v>0</v>
      </c>
      <c r="F65" s="107">
        <f t="shared" si="5"/>
        <v>45</v>
      </c>
      <c r="G65" s="107">
        <f t="shared" si="6"/>
        <v>0</v>
      </c>
      <c r="H65" s="107">
        <f t="shared" si="7"/>
        <v>0</v>
      </c>
      <c r="I65" s="107">
        <f t="shared" si="8"/>
        <v>0</v>
      </c>
      <c r="J65" s="107">
        <f t="shared" si="9"/>
        <v>0</v>
      </c>
      <c r="K65" s="165">
        <f t="shared" si="10"/>
        <v>0</v>
      </c>
      <c r="L65" s="165">
        <f t="shared" si="11"/>
        <v>60.5</v>
      </c>
      <c r="M65" s="147">
        <f t="shared" si="12"/>
        <v>0</v>
      </c>
      <c r="N65" s="163">
        <f t="shared" si="17"/>
        <v>122.5</v>
      </c>
      <c r="O65" s="49"/>
      <c r="P65" s="49"/>
      <c r="Q65" s="49"/>
      <c r="R65" s="49"/>
      <c r="S65" s="49"/>
      <c r="T65" s="49"/>
      <c r="U65" s="49"/>
      <c r="V65" s="49"/>
      <c r="W65" s="49"/>
      <c r="X65" s="49"/>
    </row>
    <row r="66" spans="1:26" s="194" customFormat="1">
      <c r="A66" s="198" t="s">
        <v>282</v>
      </c>
      <c r="B66" s="165">
        <f t="shared" si="1"/>
        <v>0</v>
      </c>
      <c r="C66" s="165">
        <f t="shared" si="2"/>
        <v>0</v>
      </c>
      <c r="D66" s="165">
        <f t="shared" si="3"/>
        <v>0</v>
      </c>
      <c r="E66" s="107">
        <f t="shared" si="4"/>
        <v>0</v>
      </c>
      <c r="F66" s="107">
        <f t="shared" si="5"/>
        <v>6</v>
      </c>
      <c r="G66" s="107">
        <f t="shared" si="6"/>
        <v>0</v>
      </c>
      <c r="H66" s="107">
        <f t="shared" si="7"/>
        <v>0</v>
      </c>
      <c r="I66" s="107">
        <f t="shared" si="8"/>
        <v>0</v>
      </c>
      <c r="J66" s="107">
        <f t="shared" si="9"/>
        <v>0</v>
      </c>
      <c r="K66" s="165">
        <f t="shared" si="10"/>
        <v>0</v>
      </c>
      <c r="L66" s="165">
        <f t="shared" si="11"/>
        <v>17</v>
      </c>
      <c r="M66" s="147">
        <f t="shared" si="12"/>
        <v>0</v>
      </c>
      <c r="N66" s="163">
        <f t="shared" si="13"/>
        <v>23</v>
      </c>
      <c r="O66" s="49"/>
      <c r="P66" s="49"/>
      <c r="Q66" s="49"/>
      <c r="R66" s="49"/>
      <c r="S66" s="49"/>
      <c r="T66" s="49"/>
      <c r="U66" s="49"/>
      <c r="X66" s="49"/>
    </row>
    <row r="67" spans="1:26" s="194" customFormat="1">
      <c r="A67" s="198" t="s">
        <v>284</v>
      </c>
      <c r="B67" s="165">
        <f t="shared" si="1"/>
        <v>0</v>
      </c>
      <c r="C67" s="165">
        <f t="shared" si="2"/>
        <v>0</v>
      </c>
      <c r="D67" s="165">
        <f t="shared" si="3"/>
        <v>1</v>
      </c>
      <c r="E67" s="107">
        <f t="shared" si="4"/>
        <v>0</v>
      </c>
      <c r="F67" s="107">
        <f t="shared" si="5"/>
        <v>9</v>
      </c>
      <c r="G67" s="107">
        <f t="shared" si="6"/>
        <v>0</v>
      </c>
      <c r="H67" s="107">
        <f t="shared" si="7"/>
        <v>0</v>
      </c>
      <c r="I67" s="107">
        <f t="shared" si="8"/>
        <v>0</v>
      </c>
      <c r="J67" s="107">
        <f t="shared" si="9"/>
        <v>0</v>
      </c>
      <c r="K67" s="165">
        <f t="shared" si="10"/>
        <v>0</v>
      </c>
      <c r="L67" s="165">
        <f t="shared" si="11"/>
        <v>11.5</v>
      </c>
      <c r="M67" s="147">
        <f t="shared" si="12"/>
        <v>0</v>
      </c>
      <c r="N67" s="163">
        <f t="shared" si="13"/>
        <v>21.5</v>
      </c>
      <c r="O67" s="49"/>
      <c r="P67" s="49"/>
      <c r="Q67" s="49"/>
      <c r="R67" s="49"/>
      <c r="S67" s="49"/>
      <c r="T67" s="49"/>
      <c r="U67" s="49"/>
      <c r="X67" s="49"/>
    </row>
    <row r="68" spans="1:26" s="194" customFormat="1">
      <c r="A68" s="198" t="s">
        <v>300</v>
      </c>
      <c r="B68" s="165">
        <f t="shared" si="1"/>
        <v>0</v>
      </c>
      <c r="C68" s="165">
        <f t="shared" si="2"/>
        <v>0</v>
      </c>
      <c r="D68" s="165">
        <f t="shared" si="3"/>
        <v>6</v>
      </c>
      <c r="E68" s="107">
        <f t="shared" si="4"/>
        <v>0</v>
      </c>
      <c r="F68" s="107">
        <f t="shared" si="5"/>
        <v>7</v>
      </c>
      <c r="G68" s="107">
        <f t="shared" si="6"/>
        <v>0</v>
      </c>
      <c r="H68" s="107">
        <f t="shared" si="7"/>
        <v>0</v>
      </c>
      <c r="I68" s="107">
        <f t="shared" si="8"/>
        <v>0</v>
      </c>
      <c r="J68" s="107">
        <f t="shared" si="9"/>
        <v>0</v>
      </c>
      <c r="K68" s="165">
        <f t="shared" si="10"/>
        <v>0</v>
      </c>
      <c r="L68" s="165">
        <f t="shared" si="11"/>
        <v>57</v>
      </c>
      <c r="M68" s="147">
        <f t="shared" si="12"/>
        <v>0</v>
      </c>
      <c r="N68" s="163">
        <f t="shared" si="13"/>
        <v>70</v>
      </c>
      <c r="O68" s="49"/>
      <c r="P68" s="49"/>
      <c r="Q68" s="49"/>
      <c r="R68" s="49"/>
      <c r="S68" s="49"/>
      <c r="T68" s="49"/>
      <c r="U68" s="49"/>
      <c r="X68" s="49"/>
    </row>
    <row r="69" spans="1:26" s="194" customFormat="1" ht="16" thickBot="1">
      <c r="A69"/>
      <c r="B69" s="227"/>
      <c r="C69"/>
      <c r="D69"/>
      <c r="E69"/>
      <c r="F69" s="49"/>
      <c r="G69"/>
      <c r="H69"/>
      <c r="I69"/>
      <c r="J69"/>
      <c r="K69"/>
      <c r="M69" s="49"/>
      <c r="N69" s="49"/>
      <c r="O69" s="49"/>
      <c r="P69" s="49"/>
      <c r="Q69" s="49"/>
      <c r="R69" s="49"/>
      <c r="S69" s="49"/>
      <c r="T69" s="49"/>
      <c r="U69" s="49"/>
      <c r="X69" s="49"/>
    </row>
    <row r="70" spans="1:26" s="194" customFormat="1">
      <c r="A70" s="108" t="s">
        <v>141</v>
      </c>
      <c r="B70" s="109" t="s">
        <v>142</v>
      </c>
      <c r="C70"/>
      <c r="D70"/>
      <c r="E70"/>
      <c r="F70"/>
      <c r="G70"/>
      <c r="H70"/>
      <c r="I70"/>
      <c r="J70"/>
      <c r="K70"/>
      <c r="M70" s="49"/>
      <c r="N70" s="226">
        <f>SUM(N43:N69)</f>
        <v>843.1</v>
      </c>
      <c r="O70" s="217">
        <f>SUM(O43:O69)</f>
        <v>0</v>
      </c>
      <c r="P70" s="217"/>
      <c r="Q70" s="49"/>
      <c r="R70" s="49"/>
      <c r="S70" s="49"/>
      <c r="T70" s="49"/>
      <c r="U70" s="49"/>
      <c r="V70" s="49"/>
      <c r="X70" s="49"/>
    </row>
    <row r="71" spans="1:26" s="194" customFormat="1" ht="16" thickBot="1">
      <c r="A71" s="110" t="s">
        <v>143</v>
      </c>
      <c r="B71" s="111" t="s">
        <v>143</v>
      </c>
      <c r="C71"/>
      <c r="D71"/>
      <c r="E71"/>
      <c r="F71"/>
      <c r="G71"/>
      <c r="H71"/>
      <c r="I71"/>
      <c r="J71"/>
      <c r="K71"/>
      <c r="L71" s="49"/>
      <c r="M71" s="49"/>
      <c r="N71" s="49"/>
      <c r="O71" s="49"/>
      <c r="P71" s="49"/>
      <c r="Q71" s="49"/>
      <c r="R71" s="49"/>
      <c r="S71" s="49"/>
      <c r="T71" s="49"/>
      <c r="U71" s="49"/>
      <c r="V71" s="49"/>
      <c r="W71" s="49"/>
      <c r="X71" s="49"/>
      <c r="Y71" s="49"/>
    </row>
    <row r="72" spans="1:26" s="194" customFormat="1">
      <c r="A72" s="198" t="s">
        <v>232</v>
      </c>
      <c r="B72" s="198" t="s">
        <v>274</v>
      </c>
      <c r="C72"/>
      <c r="D72" s="76"/>
      <c r="E72"/>
      <c r="F72"/>
      <c r="G72"/>
      <c r="H72"/>
      <c r="I72"/>
      <c r="J72"/>
      <c r="K72"/>
      <c r="L72" s="49"/>
      <c r="M72" s="49"/>
      <c r="N72" s="49"/>
      <c r="O72" s="49"/>
      <c r="P72" s="49"/>
      <c r="Q72" s="49"/>
      <c r="R72" s="49"/>
      <c r="S72" s="49"/>
      <c r="T72" s="49"/>
      <c r="U72" s="49"/>
      <c r="V72" s="49"/>
      <c r="W72" s="49"/>
      <c r="X72" s="49"/>
      <c r="Y72" s="49"/>
      <c r="Z72" s="49"/>
    </row>
    <row r="73" spans="1:26">
      <c r="A73" s="198" t="s">
        <v>324</v>
      </c>
      <c r="B73" s="198" t="s">
        <v>279</v>
      </c>
      <c r="C73"/>
      <c r="D73" s="76"/>
      <c r="E73"/>
      <c r="F73"/>
      <c r="G73"/>
      <c r="H73"/>
      <c r="I73"/>
      <c r="J73"/>
      <c r="K73"/>
    </row>
    <row r="74" spans="1:26">
      <c r="A74" s="198" t="s">
        <v>309</v>
      </c>
      <c r="B74" s="198" t="s">
        <v>302</v>
      </c>
      <c r="C74"/>
      <c r="D74" s="76"/>
      <c r="E74"/>
      <c r="F74"/>
      <c r="G74"/>
      <c r="H74"/>
      <c r="I74"/>
      <c r="J74"/>
      <c r="K74"/>
    </row>
    <row r="75" spans="1:26">
      <c r="A75" s="198" t="s">
        <v>277</v>
      </c>
      <c r="B75" s="198" t="s">
        <v>301</v>
      </c>
      <c r="C75"/>
      <c r="D75" s="76"/>
      <c r="E75"/>
      <c r="F75"/>
      <c r="G75"/>
      <c r="H75"/>
      <c r="I75"/>
      <c r="J75"/>
      <c r="K75"/>
    </row>
    <row r="76" spans="1:26">
      <c r="A76" s="198" t="s">
        <v>303</v>
      </c>
      <c r="B76" s="198" t="s">
        <v>322</v>
      </c>
      <c r="C76"/>
      <c r="D76" s="76"/>
      <c r="E76"/>
      <c r="F76"/>
      <c r="G76"/>
      <c r="H76"/>
      <c r="I76"/>
      <c r="J76"/>
      <c r="K76"/>
    </row>
    <row r="77" spans="1:26">
      <c r="A77" s="198" t="s">
        <v>269</v>
      </c>
      <c r="B77" s="198" t="s">
        <v>260</v>
      </c>
      <c r="C77"/>
      <c r="D77" s="76"/>
      <c r="E77"/>
      <c r="F77"/>
      <c r="G77"/>
      <c r="H77"/>
      <c r="I77"/>
      <c r="J77"/>
      <c r="K77"/>
    </row>
    <row r="78" spans="1:26">
      <c r="A78" s="198" t="s">
        <v>330</v>
      </c>
      <c r="B78" s="198" t="s">
        <v>282</v>
      </c>
      <c r="C78"/>
      <c r="D78" s="76"/>
      <c r="E78"/>
      <c r="F78"/>
      <c r="G78"/>
      <c r="H78"/>
      <c r="I78"/>
      <c r="J78"/>
      <c r="K78"/>
    </row>
    <row r="79" spans="1:26">
      <c r="A79" s="198" t="s">
        <v>178</v>
      </c>
      <c r="B79" s="198" t="s">
        <v>284</v>
      </c>
      <c r="C79"/>
      <c r="D79" s="76"/>
      <c r="E79"/>
      <c r="F79"/>
      <c r="G79"/>
      <c r="H79"/>
      <c r="I79"/>
      <c r="J79"/>
      <c r="K79"/>
    </row>
    <row r="80" spans="1:26">
      <c r="A80" s="198" t="s">
        <v>272</v>
      </c>
      <c r="B80" s="198" t="s">
        <v>300</v>
      </c>
      <c r="C80"/>
      <c r="E80"/>
      <c r="F80"/>
      <c r="G80"/>
      <c r="H80"/>
      <c r="I80"/>
      <c r="J80"/>
      <c r="K80"/>
    </row>
    <row r="81" spans="1:11" ht="15.75" customHeight="1">
      <c r="A81" s="198" t="s">
        <v>278</v>
      </c>
      <c r="B81" s="76"/>
      <c r="C81"/>
      <c r="E81"/>
      <c r="F81"/>
      <c r="G81"/>
      <c r="H81"/>
      <c r="I81"/>
      <c r="J81"/>
      <c r="K81"/>
    </row>
    <row r="82" spans="1:11" ht="15.75" customHeight="1">
      <c r="A82" s="198" t="s">
        <v>280</v>
      </c>
      <c r="B82" s="76"/>
      <c r="C82"/>
      <c r="E82"/>
      <c r="F82"/>
      <c r="G82"/>
      <c r="H82"/>
      <c r="I82"/>
      <c r="J82"/>
      <c r="K82"/>
    </row>
    <row r="83" spans="1:11">
      <c r="A83" s="198" t="s">
        <v>329</v>
      </c>
      <c r="B83" s="76"/>
      <c r="C83"/>
      <c r="E83"/>
      <c r="F83"/>
      <c r="G83"/>
      <c r="H83"/>
      <c r="I83"/>
      <c r="J83"/>
      <c r="K83"/>
    </row>
    <row r="84" spans="1:11">
      <c r="A84" s="198" t="s">
        <v>331</v>
      </c>
      <c r="B84" s="76"/>
      <c r="C84"/>
      <c r="E84"/>
      <c r="F84"/>
      <c r="G84"/>
      <c r="H84"/>
      <c r="I84"/>
      <c r="J84"/>
      <c r="K84"/>
    </row>
    <row r="85" spans="1:11">
      <c r="A85" s="198" t="s">
        <v>295</v>
      </c>
      <c r="B85" s="76"/>
      <c r="C85"/>
      <c r="E85"/>
      <c r="F85"/>
      <c r="G85"/>
      <c r="H85"/>
      <c r="I85"/>
      <c r="J85"/>
      <c r="K85"/>
    </row>
    <row r="86" spans="1:11">
      <c r="A86" s="198" t="s">
        <v>299</v>
      </c>
      <c r="B86" s="76"/>
      <c r="C86"/>
      <c r="E86"/>
      <c r="F86"/>
      <c r="G86"/>
      <c r="H86"/>
      <c r="I86"/>
      <c r="J86"/>
      <c r="K86"/>
    </row>
    <row r="87" spans="1:11">
      <c r="A87" s="198" t="s">
        <v>328</v>
      </c>
      <c r="B87" s="76"/>
      <c r="C87"/>
      <c r="E87"/>
      <c r="F87"/>
      <c r="G87"/>
      <c r="H87"/>
      <c r="I87"/>
      <c r="J87"/>
      <c r="K87"/>
    </row>
    <row r="88" spans="1:11">
      <c r="A88" s="198" t="s">
        <v>327</v>
      </c>
      <c r="B88" s="76"/>
      <c r="C88"/>
      <c r="E88"/>
      <c r="F88"/>
      <c r="G88"/>
      <c r="H88"/>
      <c r="I88"/>
      <c r="J88"/>
      <c r="K88"/>
    </row>
    <row r="89" spans="1:11">
      <c r="A89" s="198" t="s">
        <v>227</v>
      </c>
      <c r="B89" s="76"/>
      <c r="C89"/>
      <c r="E89"/>
      <c r="F89"/>
      <c r="G89"/>
      <c r="H89"/>
      <c r="I89"/>
      <c r="J89"/>
      <c r="K89"/>
    </row>
    <row r="90" spans="1:11">
      <c r="B90" s="76"/>
      <c r="C90"/>
      <c r="E90"/>
      <c r="F90"/>
      <c r="G90"/>
      <c r="H90"/>
      <c r="I90"/>
      <c r="J90"/>
      <c r="K90"/>
    </row>
    <row r="91" spans="1:11">
      <c r="B91" s="76"/>
      <c r="C91"/>
      <c r="E91"/>
      <c r="F91"/>
      <c r="G91"/>
      <c r="H91"/>
      <c r="I91"/>
      <c r="J91"/>
      <c r="K91"/>
    </row>
    <row r="92" spans="1:11">
      <c r="B92" s="76"/>
      <c r="C92"/>
      <c r="H92"/>
      <c r="I92"/>
    </row>
    <row r="93" spans="1:11">
      <c r="B93" s="76"/>
      <c r="C93"/>
      <c r="H93"/>
      <c r="I93"/>
    </row>
    <row r="94" spans="1:11">
      <c r="B94" s="76"/>
      <c r="C94"/>
      <c r="H94"/>
      <c r="I94"/>
    </row>
    <row r="95" spans="1:11">
      <c r="B95" s="76"/>
      <c r="C95"/>
      <c r="H95"/>
      <c r="I95"/>
    </row>
    <row r="96" spans="1:11">
      <c r="B96" s="76"/>
      <c r="C96"/>
      <c r="H96"/>
      <c r="I96"/>
    </row>
    <row r="97" spans="2:9">
      <c r="B97" s="76"/>
      <c r="C97"/>
      <c r="H97"/>
      <c r="I97"/>
    </row>
    <row r="98" spans="2:9">
      <c r="C98"/>
      <c r="H98"/>
      <c r="I98"/>
    </row>
    <row r="99" spans="2:9">
      <c r="C99"/>
      <c r="H99"/>
      <c r="I99"/>
    </row>
    <row r="100" spans="2:9">
      <c r="C100"/>
      <c r="H100"/>
      <c r="I100"/>
    </row>
    <row r="101" spans="2:9">
      <c r="C101"/>
      <c r="H101"/>
      <c r="I101"/>
    </row>
    <row r="102" spans="2:9">
      <c r="C102"/>
      <c r="H102"/>
      <c r="I102"/>
    </row>
    <row r="103" spans="2:9">
      <c r="H103"/>
      <c r="I103"/>
    </row>
    <row r="104" spans="2:9">
      <c r="H104"/>
      <c r="I104"/>
    </row>
    <row r="105" spans="2:9">
      <c r="H105"/>
      <c r="I105"/>
    </row>
    <row r="106" spans="2:9">
      <c r="H106"/>
      <c r="I106"/>
    </row>
    <row r="107" spans="2:9">
      <c r="H107"/>
      <c r="I107"/>
    </row>
  </sheetData>
  <mergeCells count="4">
    <mergeCell ref="E41:J41"/>
    <mergeCell ref="B41:D41"/>
    <mergeCell ref="N1:O1"/>
    <mergeCell ref="A1:D1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D1:N11"/>
  <sheetViews>
    <sheetView rightToLeft="1" topLeftCell="B1" workbookViewId="0">
      <selection activeCell="F16" sqref="F16"/>
    </sheetView>
  </sheetViews>
  <sheetFormatPr baseColWidth="10" defaultColWidth="11" defaultRowHeight="15"/>
  <cols>
    <col min="1" max="1" width="0.1640625" customWidth="1"/>
    <col min="2" max="3" width="0.5" customWidth="1"/>
    <col min="4" max="5" width="13.5" customWidth="1"/>
    <col min="6" max="14" width="8.5" customWidth="1"/>
  </cols>
  <sheetData>
    <row r="1" spans="4:14" ht="52">
      <c r="D1" s="329" t="s">
        <v>335</v>
      </c>
      <c r="E1" s="329" t="s">
        <v>336</v>
      </c>
      <c r="F1" s="329" t="s">
        <v>337</v>
      </c>
      <c r="G1" s="329" t="s">
        <v>338</v>
      </c>
      <c r="H1" s="329" t="s">
        <v>339</v>
      </c>
      <c r="I1" s="329" t="s">
        <v>340</v>
      </c>
      <c r="J1" s="329" t="s">
        <v>341</v>
      </c>
      <c r="K1" s="329" t="s">
        <v>342</v>
      </c>
      <c r="L1" s="329" t="s">
        <v>343</v>
      </c>
      <c r="M1" s="329" t="s">
        <v>344</v>
      </c>
      <c r="N1" s="329" t="s">
        <v>345</v>
      </c>
    </row>
    <row r="2" spans="4:14">
      <c r="D2" s="371" t="s">
        <v>346</v>
      </c>
      <c r="E2" s="372"/>
      <c r="F2" s="330">
        <v>116.9</v>
      </c>
      <c r="G2" s="330">
        <v>116.33</v>
      </c>
      <c r="H2" s="330"/>
      <c r="I2" s="330">
        <v>0.56999999999999995</v>
      </c>
      <c r="J2" s="330"/>
      <c r="K2" s="330">
        <v>11</v>
      </c>
      <c r="L2" s="330"/>
      <c r="M2" s="330"/>
      <c r="N2" s="330"/>
    </row>
    <row r="3" spans="4:14">
      <c r="D3" s="371" t="s">
        <v>348</v>
      </c>
      <c r="E3" s="372"/>
      <c r="F3" s="330">
        <v>122.5</v>
      </c>
      <c r="G3" s="330">
        <v>112.5</v>
      </c>
      <c r="H3" s="330"/>
      <c r="I3" s="330">
        <v>9</v>
      </c>
      <c r="J3" s="330">
        <v>1</v>
      </c>
      <c r="K3" s="330">
        <v>44</v>
      </c>
      <c r="L3" s="330">
        <v>17</v>
      </c>
      <c r="M3" s="330">
        <v>1</v>
      </c>
      <c r="N3" s="330"/>
    </row>
    <row r="4" spans="4:14">
      <c r="D4" s="371" t="s">
        <v>349</v>
      </c>
      <c r="E4" s="372"/>
      <c r="F4" s="330">
        <v>57.5</v>
      </c>
      <c r="G4" s="330">
        <v>57.5</v>
      </c>
      <c r="H4" s="330"/>
      <c r="I4" s="330"/>
      <c r="J4" s="330"/>
      <c r="K4" s="330">
        <v>10</v>
      </c>
      <c r="L4" s="330"/>
      <c r="M4" s="330"/>
      <c r="N4" s="330">
        <v>15</v>
      </c>
    </row>
    <row r="5" spans="4:14">
      <c r="D5" s="371" t="s">
        <v>350</v>
      </c>
      <c r="E5" s="372"/>
      <c r="F5" s="330">
        <v>23</v>
      </c>
      <c r="G5" s="330">
        <v>23</v>
      </c>
      <c r="H5" s="330"/>
      <c r="I5" s="330"/>
      <c r="J5" s="330"/>
      <c r="K5" s="330">
        <v>6</v>
      </c>
      <c r="L5" s="330"/>
      <c r="M5" s="330"/>
      <c r="N5" s="330"/>
    </row>
    <row r="6" spans="4:14">
      <c r="D6" s="371" t="s">
        <v>351</v>
      </c>
      <c r="E6" s="372"/>
      <c r="F6" s="330">
        <v>21.5</v>
      </c>
      <c r="G6" s="330">
        <v>21.5</v>
      </c>
      <c r="H6" s="330"/>
      <c r="I6" s="330"/>
      <c r="J6" s="330"/>
      <c r="K6" s="330">
        <v>9</v>
      </c>
      <c r="L6" s="330">
        <v>1</v>
      </c>
      <c r="M6" s="330"/>
      <c r="N6" s="330"/>
    </row>
    <row r="7" spans="4:14">
      <c r="D7" s="371" t="s">
        <v>352</v>
      </c>
      <c r="E7" s="372"/>
      <c r="F7" s="330">
        <v>70</v>
      </c>
      <c r="G7" s="330">
        <v>63</v>
      </c>
      <c r="H7" s="330">
        <v>2</v>
      </c>
      <c r="I7" s="330"/>
      <c r="J7" s="330">
        <v>5</v>
      </c>
      <c r="K7" s="330">
        <v>7</v>
      </c>
      <c r="L7" s="330">
        <v>6</v>
      </c>
      <c r="M7" s="330"/>
      <c r="N7" s="330">
        <v>1</v>
      </c>
    </row>
    <row r="8" spans="4:14">
      <c r="D8" s="371" t="s">
        <v>353</v>
      </c>
      <c r="E8" s="372"/>
      <c r="F8" s="330">
        <v>59.75</v>
      </c>
      <c r="G8" s="330">
        <v>58.75</v>
      </c>
      <c r="H8" s="330"/>
      <c r="I8" s="330">
        <v>1</v>
      </c>
      <c r="J8" s="330"/>
      <c r="K8" s="330"/>
      <c r="L8" s="330"/>
      <c r="M8" s="330"/>
      <c r="N8" s="330"/>
    </row>
    <row r="9" spans="4:14">
      <c r="D9" s="371" t="s">
        <v>354</v>
      </c>
      <c r="E9" s="372"/>
      <c r="F9" s="330">
        <v>59.95</v>
      </c>
      <c r="G9" s="330">
        <v>55.9</v>
      </c>
      <c r="H9" s="330">
        <v>1</v>
      </c>
      <c r="I9" s="330"/>
      <c r="J9" s="330">
        <v>3.05</v>
      </c>
      <c r="K9" s="330"/>
      <c r="L9" s="330"/>
      <c r="M9" s="330">
        <v>3</v>
      </c>
      <c r="N9" s="330"/>
    </row>
    <row r="10" spans="4:14">
      <c r="D10" s="331" t="s">
        <v>355</v>
      </c>
      <c r="E10" s="331" t="s">
        <v>347</v>
      </c>
      <c r="F10" s="331">
        <f>SUM(F2:F9)</f>
        <v>531.1</v>
      </c>
      <c r="G10" s="331">
        <f t="shared" ref="G10:N10" si="0">SUM(G2:G9)</f>
        <v>508.47999999999996</v>
      </c>
      <c r="H10" s="331">
        <f t="shared" si="0"/>
        <v>3</v>
      </c>
      <c r="I10" s="331">
        <f t="shared" si="0"/>
        <v>10.57</v>
      </c>
      <c r="J10" s="331">
        <f t="shared" si="0"/>
        <v>9.0500000000000007</v>
      </c>
      <c r="K10" s="331">
        <f t="shared" si="0"/>
        <v>87</v>
      </c>
      <c r="L10" s="331">
        <f t="shared" si="0"/>
        <v>24</v>
      </c>
      <c r="M10" s="331">
        <f t="shared" si="0"/>
        <v>4</v>
      </c>
      <c r="N10" s="331">
        <f t="shared" si="0"/>
        <v>16</v>
      </c>
    </row>
    <row r="11" spans="4:14" ht="3" customHeight="1"/>
  </sheetData>
  <mergeCells count="8">
    <mergeCell ref="D6:E6"/>
    <mergeCell ref="D7:E7"/>
    <mergeCell ref="D8:E8"/>
    <mergeCell ref="D9:E9"/>
    <mergeCell ref="D2:E2"/>
    <mergeCell ref="D3:E3"/>
    <mergeCell ref="D4:E4"/>
    <mergeCell ref="D5:E5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0066FF"/>
    <pageSetUpPr fitToPage="1"/>
  </sheetPr>
  <dimension ref="C1:K17"/>
  <sheetViews>
    <sheetView showGridLines="0" rightToLeft="1" tabSelected="1" workbookViewId="0">
      <selection activeCell="F15" sqref="F15"/>
    </sheetView>
  </sheetViews>
  <sheetFormatPr baseColWidth="10" defaultColWidth="9" defaultRowHeight="15"/>
  <cols>
    <col min="1" max="1" width="9" style="49"/>
    <col min="2" max="2" width="6.6640625" style="49" customWidth="1"/>
    <col min="3" max="3" width="3.5" style="49" customWidth="1"/>
    <col min="4" max="4" width="9.1640625" style="49" customWidth="1"/>
    <col min="5" max="5" width="24.1640625" style="49" customWidth="1"/>
    <col min="6" max="6" width="13.1640625" style="49" bestFit="1" customWidth="1"/>
    <col min="7" max="7" width="14.1640625" style="49" customWidth="1"/>
    <col min="8" max="8" width="5.6640625" style="49" customWidth="1"/>
    <col min="9" max="10" width="9" style="49"/>
    <col min="11" max="11" width="11.6640625" style="177" bestFit="1" customWidth="1"/>
    <col min="12" max="12" width="9" style="49"/>
    <col min="13" max="13" width="11.6640625" style="49" bestFit="1" customWidth="1"/>
    <col min="14" max="16384" width="9" style="49"/>
  </cols>
  <sheetData>
    <row r="1" spans="3:8" ht="16" thickBot="1"/>
    <row r="2" spans="3:8" ht="16" thickBot="1">
      <c r="C2" s="283"/>
      <c r="D2" s="284"/>
      <c r="E2" s="284"/>
      <c r="F2" s="284"/>
      <c r="G2" s="284"/>
      <c r="H2" s="285"/>
    </row>
    <row r="3" spans="3:8" ht="14.25" customHeight="1">
      <c r="C3" s="286"/>
      <c r="D3" s="373" t="s">
        <v>249</v>
      </c>
      <c r="E3" s="374"/>
      <c r="F3" s="377">
        <f>'ריכוז שעות'!F5</f>
        <v>46204</v>
      </c>
      <c r="G3" s="379"/>
      <c r="H3" s="287"/>
    </row>
    <row r="4" spans="3:8" ht="15" customHeight="1" thickBot="1">
      <c r="C4" s="286"/>
      <c r="D4" s="375"/>
      <c r="E4" s="376"/>
      <c r="F4" s="378"/>
      <c r="G4" s="380"/>
      <c r="H4" s="287"/>
    </row>
    <row r="5" spans="3:8" ht="16" thickBot="1">
      <c r="C5" s="286"/>
      <c r="H5" s="277"/>
    </row>
    <row r="6" spans="3:8" ht="16" thickBot="1">
      <c r="C6" s="286"/>
      <c r="D6" s="205" t="s">
        <v>156</v>
      </c>
      <c r="E6" s="127" t="s">
        <v>157</v>
      </c>
      <c r="F6" s="206" t="s">
        <v>158</v>
      </c>
      <c r="G6" s="206" t="s">
        <v>9</v>
      </c>
      <c r="H6" s="278"/>
    </row>
    <row r="7" spans="3:8">
      <c r="C7" s="286"/>
      <c r="D7" s="288">
        <f>'דוח מרכז לאישור מנהל'!B47</f>
        <v>22620</v>
      </c>
      <c r="E7" s="122" t="str">
        <f>'דוח מרכז לאישור מנהל'!C47</f>
        <v>חיוב בגין פקידת קבלה</v>
      </c>
      <c r="F7" s="258">
        <f ca="1">'דוח מרכז לאישור מנהל'!D47</f>
        <v>8630</v>
      </c>
      <c r="G7" s="276"/>
      <c r="H7" s="278"/>
    </row>
    <row r="8" spans="3:8">
      <c r="C8" s="286"/>
      <c r="D8" s="166">
        <f>'דוח מרכז לאישור מנהל'!B48</f>
        <v>22604</v>
      </c>
      <c r="E8" s="92" t="str">
        <f>'דוח מרכז לאישור מנהל'!C48</f>
        <v>חיוב שעות מאמנים</v>
      </c>
      <c r="F8" s="259">
        <f>'דוח מרכז לאישור מנהל'!D48+'דוח מרכז לאישור מנהל'!D56</f>
        <v>25088.5625</v>
      </c>
      <c r="G8" s="289"/>
      <c r="H8" s="278"/>
    </row>
    <row r="9" spans="3:8">
      <c r="C9" s="286"/>
      <c r="D9" s="166">
        <f>'דוח מרכז לאישור מנהל'!B49</f>
        <v>22660</v>
      </c>
      <c r="E9" s="92" t="str">
        <f>'דוח מרכז לאישור מנהל'!C49</f>
        <v xml:space="preserve">אימונים קבוצתיים </v>
      </c>
      <c r="F9" s="259">
        <f>'דוח מרכז לאישור מנהל'!D49</f>
        <v>3120</v>
      </c>
      <c r="G9" s="276"/>
      <c r="H9" s="278"/>
    </row>
    <row r="10" spans="3:8">
      <c r="C10" s="286"/>
      <c r="D10" s="166">
        <f>'דוח מרכז לאישור מנהל'!B60</f>
        <v>22655</v>
      </c>
      <c r="E10" s="92" t="s">
        <v>215</v>
      </c>
      <c r="F10" s="259">
        <f>'דוח מרכז לאישור מנהל'!D60</f>
        <v>2500</v>
      </c>
      <c r="G10" s="289"/>
      <c r="H10" s="278"/>
    </row>
    <row r="11" spans="3:8">
      <c r="C11" s="286"/>
      <c r="D11" s="166">
        <f>'דוח מרכז לאישור מנהל'!B50</f>
        <v>22650</v>
      </c>
      <c r="E11" s="92" t="str">
        <f>'דוח מרכז לאישור מנהל'!C50</f>
        <v>אימונים אישיים</v>
      </c>
      <c r="F11" s="259">
        <f>'דוח מרכז לאישור מנהל'!D54+'דוח מרכז לאישור מנהל'!D50</f>
        <v>29900</v>
      </c>
      <c r="G11" s="276"/>
      <c r="H11" s="278"/>
    </row>
    <row r="12" spans="3:8">
      <c r="C12" s="286"/>
      <c r="D12" s="166">
        <f>'דוח מרכז לאישור מנהל'!B52</f>
        <v>22653</v>
      </c>
      <c r="E12" s="92" t="s">
        <v>201</v>
      </c>
      <c r="F12" s="259">
        <f>'דוח מרכז לאישור מנהל'!D52+'דוח מרכז לאישור מנהל'!D53</f>
        <v>22140</v>
      </c>
      <c r="G12" s="289"/>
      <c r="H12" s="278"/>
    </row>
    <row r="13" spans="3:8">
      <c r="C13" s="286"/>
      <c r="D13" s="166">
        <v>22601</v>
      </c>
      <c r="E13" s="92" t="s">
        <v>271</v>
      </c>
      <c r="F13" s="259">
        <f>'דוח מרכז לאישור מנהל'!D57+'דוח מרכז לאישור מנהל'!D58</f>
        <v>22000</v>
      </c>
      <c r="G13" s="289"/>
      <c r="H13" s="278"/>
    </row>
    <row r="14" spans="3:8" ht="16" thickBot="1">
      <c r="C14" s="286"/>
      <c r="D14" s="166">
        <f>'דוח מרכז לאישור מנהל'!B62</f>
        <v>22662</v>
      </c>
      <c r="E14" s="92" t="str">
        <f>'דוח מרכז לאישור מנהל'!C62</f>
        <v>עמלות מכירת מנויים ושידרוגים</v>
      </c>
      <c r="F14" s="259">
        <f>מכירות!N10+'דוח מרכז לאישור מנהל'!D61</f>
        <v>6416.4000000000005</v>
      </c>
      <c r="G14" s="276"/>
      <c r="H14" s="278"/>
    </row>
    <row r="15" spans="3:8" ht="16" thickBot="1">
      <c r="C15" s="286"/>
      <c r="D15" s="290"/>
      <c r="E15" s="127" t="s">
        <v>185</v>
      </c>
      <c r="F15" s="260">
        <f ca="1">SUM(F7:F14)</f>
        <v>119794.96249999999</v>
      </c>
      <c r="G15" s="291"/>
      <c r="H15" s="287"/>
    </row>
    <row r="16" spans="3:8">
      <c r="C16" s="286"/>
      <c r="F16" s="274"/>
      <c r="H16" s="292"/>
    </row>
    <row r="17" spans="3:8" ht="16" thickBot="1">
      <c r="C17" s="293"/>
      <c r="D17" s="294"/>
      <c r="E17" s="294"/>
      <c r="F17" s="294"/>
      <c r="G17" s="294"/>
      <c r="H17" s="295"/>
    </row>
  </sheetData>
  <mergeCells count="3">
    <mergeCell ref="D3:E4"/>
    <mergeCell ref="F3:F4"/>
    <mergeCell ref="G3:G4"/>
  </mergeCells>
  <printOptions horizontalCentered="1"/>
  <pageMargins left="0.70866141732283472" right="0.70866141732283472" top="0.74803149606299213" bottom="0.74803149606299213" header="0.31496062992125984" footer="0.31496062992125984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O21"/>
  <sheetViews>
    <sheetView rightToLeft="1" zoomScale="85" zoomScaleNormal="85" workbookViewId="0">
      <selection activeCell="M10" sqref="M10"/>
    </sheetView>
  </sheetViews>
  <sheetFormatPr baseColWidth="10" defaultColWidth="8.83203125" defaultRowHeight="15"/>
  <cols>
    <col min="1" max="1" width="10.1640625" customWidth="1"/>
    <col min="2" max="2" width="15" customWidth="1"/>
    <col min="3" max="3" width="11.5" customWidth="1"/>
    <col min="4" max="4" width="12" customWidth="1"/>
    <col min="5" max="5" width="13" customWidth="1"/>
    <col min="6" max="6" width="10.1640625" customWidth="1"/>
    <col min="7" max="9" width="11.5" customWidth="1"/>
    <col min="10" max="10" width="11" customWidth="1"/>
    <col min="11" max="11" width="13.1640625" customWidth="1"/>
    <col min="12" max="12" width="14" customWidth="1"/>
    <col min="13" max="13" width="15.1640625" customWidth="1"/>
    <col min="14" max="14" width="19.6640625" customWidth="1"/>
  </cols>
  <sheetData>
    <row r="1" spans="1:15" ht="19">
      <c r="A1" s="49"/>
      <c r="B1" s="49"/>
      <c r="C1" s="49"/>
      <c r="D1" s="49"/>
      <c r="E1" s="49"/>
      <c r="F1" s="188"/>
      <c r="G1" s="188"/>
      <c r="H1" s="188"/>
      <c r="I1" s="188"/>
      <c r="J1" s="188"/>
      <c r="K1" s="188"/>
      <c r="L1" s="188"/>
      <c r="M1" s="188"/>
      <c r="N1" s="188"/>
    </row>
    <row r="2" spans="1:15" ht="20" thickBot="1">
      <c r="A2" s="49"/>
      <c r="B2" s="332">
        <v>46204</v>
      </c>
      <c r="C2" s="332" t="s">
        <v>356</v>
      </c>
      <c r="D2" s="49"/>
      <c r="E2" s="49"/>
      <c r="F2" s="49"/>
      <c r="G2" s="49"/>
      <c r="H2" s="49"/>
      <c r="I2" s="49"/>
      <c r="J2" s="49"/>
      <c r="K2" s="49"/>
      <c r="L2" s="49"/>
      <c r="M2" s="49"/>
      <c r="N2" s="49"/>
    </row>
    <row r="3" spans="1:15" ht="49" thickBot="1">
      <c r="A3" s="49"/>
      <c r="B3" s="333" t="s">
        <v>143</v>
      </c>
      <c r="C3" s="334" t="s">
        <v>357</v>
      </c>
      <c r="D3" s="334" t="s">
        <v>358</v>
      </c>
      <c r="E3" s="335" t="s">
        <v>359</v>
      </c>
      <c r="F3" s="335" t="s">
        <v>360</v>
      </c>
      <c r="G3" s="336" t="s">
        <v>361</v>
      </c>
      <c r="H3" s="336" t="s">
        <v>362</v>
      </c>
      <c r="I3" s="337" t="s">
        <v>363</v>
      </c>
      <c r="J3" s="338" t="s">
        <v>362</v>
      </c>
      <c r="K3" s="338" t="s">
        <v>364</v>
      </c>
      <c r="L3" s="188"/>
      <c r="M3" s="339" t="s">
        <v>365</v>
      </c>
      <c r="N3" s="339" t="s">
        <v>372</v>
      </c>
    </row>
    <row r="4" spans="1:15">
      <c r="A4" s="49"/>
      <c r="B4" s="340" t="s">
        <v>366</v>
      </c>
      <c r="C4" s="341"/>
      <c r="D4" s="342">
        <v>50</v>
      </c>
      <c r="E4" s="343">
        <v>21.5</v>
      </c>
      <c r="F4" s="344">
        <v>30</v>
      </c>
      <c r="G4" s="345">
        <v>10</v>
      </c>
      <c r="H4" s="344">
        <v>70</v>
      </c>
      <c r="I4" s="346">
        <v>1.5</v>
      </c>
      <c r="J4" s="344">
        <v>100</v>
      </c>
      <c r="K4" s="92"/>
      <c r="L4" s="49"/>
      <c r="M4" s="347">
        <f>C4*D4+E4*F4+G4*H4+I4*J4</f>
        <v>1495</v>
      </c>
      <c r="N4" s="347">
        <f t="shared" ref="N4:N9" si="0">M4*1.08</f>
        <v>1614.6000000000001</v>
      </c>
    </row>
    <row r="5" spans="1:15">
      <c r="A5" s="49"/>
      <c r="B5" s="340" t="s">
        <v>367</v>
      </c>
      <c r="C5" s="348"/>
      <c r="D5" s="342">
        <v>50</v>
      </c>
      <c r="E5" s="343"/>
      <c r="F5" s="344">
        <v>30</v>
      </c>
      <c r="G5" s="345"/>
      <c r="H5" s="344">
        <v>70</v>
      </c>
      <c r="I5" s="346"/>
      <c r="J5" s="344">
        <v>100</v>
      </c>
      <c r="K5" s="92">
        <v>60</v>
      </c>
      <c r="L5" s="49"/>
      <c r="M5" s="347">
        <f>K5</f>
        <v>60</v>
      </c>
      <c r="N5" s="347">
        <f t="shared" si="0"/>
        <v>64.800000000000011</v>
      </c>
    </row>
    <row r="6" spans="1:15">
      <c r="A6" s="49"/>
      <c r="B6" s="340" t="s">
        <v>368</v>
      </c>
      <c r="C6" s="348"/>
      <c r="D6" s="342">
        <v>50</v>
      </c>
      <c r="E6" s="343"/>
      <c r="F6" s="344">
        <v>30</v>
      </c>
      <c r="G6" s="345"/>
      <c r="H6" s="344">
        <v>70</v>
      </c>
      <c r="I6" s="346"/>
      <c r="J6" s="344">
        <v>100</v>
      </c>
      <c r="K6" s="92">
        <v>180</v>
      </c>
      <c r="L6" s="49"/>
      <c r="M6" s="347">
        <f>K6</f>
        <v>180</v>
      </c>
      <c r="N6" s="347">
        <f t="shared" si="0"/>
        <v>194.4</v>
      </c>
    </row>
    <row r="7" spans="1:15">
      <c r="A7" s="49"/>
      <c r="B7" s="349" t="s">
        <v>369</v>
      </c>
      <c r="C7" s="348"/>
      <c r="D7" s="342">
        <v>50</v>
      </c>
      <c r="E7" s="343">
        <v>28.5</v>
      </c>
      <c r="F7" s="344">
        <v>30</v>
      </c>
      <c r="G7" s="345">
        <v>12</v>
      </c>
      <c r="H7" s="344">
        <v>70</v>
      </c>
      <c r="I7" s="346">
        <v>1.5</v>
      </c>
      <c r="J7" s="344">
        <v>100</v>
      </c>
      <c r="K7" s="92"/>
      <c r="L7" s="49"/>
      <c r="M7" s="347">
        <f>C7*D7+E7*F7+G7*H7+I7*J7</f>
        <v>1845</v>
      </c>
      <c r="N7" s="347">
        <f t="shared" si="0"/>
        <v>1992.6000000000001</v>
      </c>
    </row>
    <row r="8" spans="1:15">
      <c r="A8" s="49"/>
      <c r="B8" s="349" t="s">
        <v>370</v>
      </c>
      <c r="C8" s="348"/>
      <c r="D8" s="342">
        <v>50</v>
      </c>
      <c r="E8" s="343">
        <v>0.5</v>
      </c>
      <c r="F8" s="344">
        <v>30</v>
      </c>
      <c r="G8" s="345">
        <v>0.5</v>
      </c>
      <c r="H8" s="344">
        <v>70</v>
      </c>
      <c r="I8" s="346"/>
      <c r="J8" s="344">
        <v>100</v>
      </c>
      <c r="K8" s="92"/>
      <c r="L8" s="49"/>
      <c r="M8" s="347">
        <f>C8*D8+E8*F8+G8*H8+I8*J8</f>
        <v>50</v>
      </c>
      <c r="N8" s="347">
        <f t="shared" si="0"/>
        <v>54</v>
      </c>
    </row>
    <row r="9" spans="1:15" ht="16" thickBot="1">
      <c r="A9" s="49"/>
      <c r="B9" s="349" t="s">
        <v>371</v>
      </c>
      <c r="C9" s="348">
        <v>1.5</v>
      </c>
      <c r="D9" s="342">
        <v>50</v>
      </c>
      <c r="E9" s="343"/>
      <c r="F9" s="344">
        <v>30</v>
      </c>
      <c r="G9" s="345"/>
      <c r="H9" s="344">
        <v>70</v>
      </c>
      <c r="I9" s="346"/>
      <c r="J9" s="344">
        <v>100</v>
      </c>
      <c r="K9" s="92"/>
      <c r="L9" s="49"/>
      <c r="M9" s="347">
        <f>C9*D9+E9*F9+G9*H9+I9*J9</f>
        <v>75</v>
      </c>
      <c r="N9" s="347">
        <f t="shared" si="0"/>
        <v>81</v>
      </c>
    </row>
    <row r="10" spans="1:15" ht="16" thickBot="1">
      <c r="A10" s="49"/>
      <c r="B10" s="350" t="s">
        <v>185</v>
      </c>
      <c r="C10" s="351">
        <f>SUM(C4:C9)</f>
        <v>1.5</v>
      </c>
      <c r="D10" s="351"/>
      <c r="E10" s="351">
        <f>SUM(E4:E9)</f>
        <v>50.5</v>
      </c>
      <c r="F10" s="351"/>
      <c r="G10" s="351">
        <f>SUM(G4:G9)</f>
        <v>22.5</v>
      </c>
      <c r="H10" s="352"/>
      <c r="I10" s="353">
        <f>SUM(I4:I9)</f>
        <v>3</v>
      </c>
      <c r="J10" s="353">
        <f>SUM(J4:J9)</f>
        <v>600</v>
      </c>
      <c r="K10" s="353">
        <f>SUM(K4:K9)</f>
        <v>240</v>
      </c>
      <c r="L10" s="49"/>
      <c r="M10" s="354">
        <f>SUM(M4:M9)</f>
        <v>3705</v>
      </c>
      <c r="N10" s="354">
        <f>SUM(N4:N9)</f>
        <v>4001.4000000000005</v>
      </c>
    </row>
    <row r="11" spans="1:15" ht="19">
      <c r="A11" s="49"/>
      <c r="B11" s="49"/>
      <c r="C11" s="49"/>
      <c r="D11" s="49"/>
      <c r="E11" s="158"/>
      <c r="F11" s="49"/>
      <c r="G11" s="188"/>
      <c r="H11" s="188"/>
      <c r="I11" s="158"/>
      <c r="J11" s="49"/>
      <c r="K11" s="49"/>
      <c r="L11" s="49"/>
      <c r="M11" s="188"/>
      <c r="N11" s="188"/>
    </row>
    <row r="12" spans="1:15">
      <c r="A12" s="49"/>
      <c r="B12" s="49"/>
      <c r="C12" s="49"/>
      <c r="D12" s="49"/>
      <c r="E12" s="49"/>
      <c r="F12" s="49"/>
      <c r="G12" s="49"/>
      <c r="H12" s="49"/>
      <c r="I12" s="49"/>
      <c r="J12" s="49"/>
      <c r="K12" s="49"/>
      <c r="L12" s="49"/>
      <c r="M12" s="49"/>
      <c r="N12" s="49"/>
      <c r="O12" s="49"/>
    </row>
    <row r="13" spans="1:15">
      <c r="A13" s="49"/>
      <c r="B13" s="49"/>
      <c r="C13" s="49"/>
      <c r="D13" s="49"/>
      <c r="E13" s="49"/>
      <c r="F13" s="49"/>
      <c r="G13" s="49"/>
      <c r="H13" s="49"/>
      <c r="I13" s="49"/>
      <c r="J13" s="49"/>
      <c r="K13" s="49"/>
      <c r="L13" s="49"/>
      <c r="M13" s="49"/>
      <c r="N13" s="49"/>
      <c r="O13" s="49"/>
    </row>
    <row r="14" spans="1:15">
      <c r="A14" s="49"/>
      <c r="B14" s="49"/>
      <c r="C14" s="49"/>
      <c r="D14" s="49"/>
      <c r="E14" s="49"/>
      <c r="F14" s="49"/>
      <c r="G14" s="49"/>
      <c r="H14" s="49"/>
      <c r="I14" s="49"/>
      <c r="J14" s="49"/>
      <c r="K14" s="49"/>
      <c r="L14" s="49"/>
      <c r="M14" s="49"/>
      <c r="N14" s="49"/>
      <c r="O14" s="49"/>
    </row>
    <row r="15" spans="1:15">
      <c r="A15" s="49"/>
      <c r="B15" s="49"/>
      <c r="C15" s="49"/>
      <c r="D15" s="49"/>
      <c r="E15" s="49"/>
      <c r="F15" s="49"/>
      <c r="G15" s="49"/>
      <c r="H15" s="49"/>
      <c r="I15" s="49"/>
      <c r="J15" s="49"/>
      <c r="K15" s="49"/>
      <c r="L15" s="49"/>
      <c r="M15" s="49"/>
      <c r="N15" s="49"/>
      <c r="O15" s="49"/>
    </row>
    <row r="16" spans="1:15">
      <c r="A16" s="49"/>
      <c r="B16" s="49"/>
      <c r="C16" s="49"/>
      <c r="D16" s="49"/>
      <c r="E16" s="49"/>
      <c r="F16" s="49"/>
      <c r="G16" s="49"/>
      <c r="H16" s="49"/>
      <c r="I16" s="49"/>
      <c r="J16" s="49"/>
      <c r="K16" s="49"/>
      <c r="L16" s="49"/>
      <c r="M16" s="49"/>
      <c r="N16" s="49"/>
      <c r="O16" s="49"/>
    </row>
    <row r="17" spans="1:15">
      <c r="A17" s="49"/>
      <c r="B17" s="49"/>
      <c r="C17" s="49"/>
      <c r="D17" s="49"/>
      <c r="E17" s="49"/>
      <c r="F17" s="49"/>
      <c r="G17" s="49"/>
      <c r="H17" s="49"/>
      <c r="I17" s="49"/>
      <c r="J17" s="49"/>
      <c r="K17" s="49"/>
      <c r="L17" s="49"/>
      <c r="M17" s="49"/>
      <c r="N17" s="49"/>
      <c r="O17" s="49"/>
    </row>
    <row r="18" spans="1:15">
      <c r="A18" s="49"/>
      <c r="B18" s="49"/>
      <c r="C18" s="49"/>
      <c r="D18" s="49"/>
      <c r="E18" s="49"/>
      <c r="F18" s="49"/>
      <c r="G18" s="49"/>
      <c r="H18" s="49"/>
      <c r="I18" s="49"/>
      <c r="J18" s="49"/>
      <c r="K18" s="49"/>
      <c r="L18" s="49"/>
      <c r="M18" s="49"/>
      <c r="N18" s="49"/>
      <c r="O18" s="49"/>
    </row>
    <row r="19" spans="1:15">
      <c r="A19" s="49"/>
      <c r="B19" s="49"/>
      <c r="C19" s="49"/>
      <c r="D19" s="49"/>
      <c r="E19" s="49"/>
      <c r="F19" s="49"/>
      <c r="G19" s="49"/>
      <c r="H19" s="49"/>
      <c r="I19" s="49"/>
      <c r="J19" s="49"/>
      <c r="K19" s="49"/>
      <c r="L19" s="49"/>
      <c r="M19" s="49"/>
      <c r="N19" s="49"/>
      <c r="O19" s="49"/>
    </row>
    <row r="20" spans="1:15">
      <c r="A20" s="49"/>
      <c r="B20" s="49"/>
      <c r="C20" s="49"/>
      <c r="D20" s="49"/>
      <c r="E20" s="49"/>
      <c r="F20" s="49"/>
      <c r="G20" s="49"/>
      <c r="H20" s="49"/>
      <c r="I20" s="49"/>
      <c r="J20" s="49"/>
      <c r="K20" s="49"/>
      <c r="L20" s="49"/>
      <c r="M20" s="49"/>
      <c r="N20" s="49"/>
      <c r="O20" s="49"/>
    </row>
    <row r="21" spans="1:15">
      <c r="A21" s="49"/>
      <c r="B21" s="49"/>
      <c r="C21" s="49"/>
      <c r="D21" s="49"/>
      <c r="E21" s="49"/>
      <c r="F21" s="49"/>
      <c r="G21" s="49"/>
      <c r="H21" s="49"/>
      <c r="I21" s="49"/>
      <c r="J21" s="49"/>
      <c r="K21" s="49"/>
      <c r="L21" s="49"/>
      <c r="M21" s="49"/>
      <c r="N21" s="49"/>
      <c r="O21" s="49"/>
    </row>
  </sheetData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3:B16"/>
  <sheetViews>
    <sheetView rightToLeft="1" workbookViewId="0">
      <selection activeCell="A3" sqref="A3"/>
    </sheetView>
  </sheetViews>
  <sheetFormatPr baseColWidth="10" defaultColWidth="8.83203125" defaultRowHeight="15"/>
  <cols>
    <col min="1" max="1" width="13" bestFit="1" customWidth="1"/>
    <col min="2" max="2" width="14.1640625" bestFit="1" customWidth="1"/>
  </cols>
  <sheetData>
    <row r="3" spans="1:2">
      <c r="A3" s="75" t="s">
        <v>77</v>
      </c>
      <c r="B3" t="s">
        <v>79</v>
      </c>
    </row>
    <row r="4" spans="1:2">
      <c r="A4" s="76" t="s">
        <v>13</v>
      </c>
      <c r="B4">
        <v>8</v>
      </c>
    </row>
    <row r="5" spans="1:2">
      <c r="A5" s="76" t="s">
        <v>14</v>
      </c>
      <c r="B5">
        <v>8</v>
      </c>
    </row>
    <row r="6" spans="1:2">
      <c r="A6" s="76" t="s">
        <v>153</v>
      </c>
      <c r="B6">
        <v>1</v>
      </c>
    </row>
    <row r="7" spans="1:2">
      <c r="A7" s="76" t="s">
        <v>61</v>
      </c>
      <c r="B7">
        <v>18</v>
      </c>
    </row>
    <row r="8" spans="1:2">
      <c r="A8" s="76" t="s">
        <v>147</v>
      </c>
      <c r="B8">
        <v>5</v>
      </c>
    </row>
    <row r="9" spans="1:2">
      <c r="A9" s="76" t="s">
        <v>150</v>
      </c>
      <c r="B9">
        <v>1</v>
      </c>
    </row>
    <row r="10" spans="1:2">
      <c r="A10" s="76" t="s">
        <v>70</v>
      </c>
      <c r="B10">
        <v>18</v>
      </c>
    </row>
    <row r="11" spans="1:2">
      <c r="A11" s="76" t="s">
        <v>68</v>
      </c>
      <c r="B11">
        <v>5</v>
      </c>
    </row>
    <row r="12" spans="1:2">
      <c r="A12" s="76" t="s">
        <v>145</v>
      </c>
      <c r="B12">
        <v>5</v>
      </c>
    </row>
    <row r="13" spans="1:2">
      <c r="A13" s="76" t="s">
        <v>17</v>
      </c>
      <c r="B13">
        <v>16</v>
      </c>
    </row>
    <row r="14" spans="1:2">
      <c r="A14" s="76" t="s">
        <v>16</v>
      </c>
      <c r="B14">
        <v>2</v>
      </c>
    </row>
    <row r="15" spans="1:2">
      <c r="A15" s="76" t="s">
        <v>155</v>
      </c>
      <c r="B15">
        <v>1</v>
      </c>
    </row>
    <row r="16" spans="1:2">
      <c r="A16" s="76" t="s">
        <v>78</v>
      </c>
      <c r="B16">
        <v>88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O89"/>
  <sheetViews>
    <sheetView rightToLeft="1" workbookViewId="0">
      <selection sqref="A1:O89"/>
    </sheetView>
  </sheetViews>
  <sheetFormatPr baseColWidth="10" defaultColWidth="8.83203125" defaultRowHeight="15"/>
  <sheetData>
    <row r="1" spans="1:15">
      <c r="A1" t="s">
        <v>47</v>
      </c>
      <c r="B1" t="s">
        <v>2</v>
      </c>
      <c r="C1" t="s">
        <v>48</v>
      </c>
      <c r="D1" t="s">
        <v>49</v>
      </c>
      <c r="E1" t="s">
        <v>50</v>
      </c>
      <c r="F1" t="s">
        <v>51</v>
      </c>
      <c r="G1" t="s">
        <v>52</v>
      </c>
      <c r="H1" t="s">
        <v>53</v>
      </c>
      <c r="I1" t="s">
        <v>54</v>
      </c>
      <c r="J1" t="s">
        <v>55</v>
      </c>
      <c r="K1" t="s">
        <v>56</v>
      </c>
      <c r="L1" t="s">
        <v>146</v>
      </c>
      <c r="M1" t="s">
        <v>57</v>
      </c>
      <c r="N1" t="s">
        <v>58</v>
      </c>
      <c r="O1" t="s">
        <v>59</v>
      </c>
    </row>
    <row r="2" spans="1:15">
      <c r="A2" s="73">
        <v>43466</v>
      </c>
      <c r="B2" t="s">
        <v>23</v>
      </c>
      <c r="C2" s="74">
        <v>0.3125</v>
      </c>
      <c r="D2" s="74">
        <v>0.34722222222222227</v>
      </c>
      <c r="E2">
        <v>0.83299999999999996</v>
      </c>
      <c r="F2">
        <v>50</v>
      </c>
      <c r="G2" t="s">
        <v>60</v>
      </c>
      <c r="H2" t="s">
        <v>13</v>
      </c>
      <c r="I2" t="s">
        <v>11</v>
      </c>
      <c r="J2" t="s">
        <v>67</v>
      </c>
      <c r="K2">
        <v>13</v>
      </c>
      <c r="L2">
        <v>86.67</v>
      </c>
      <c r="M2">
        <v>12</v>
      </c>
      <c r="N2">
        <v>0</v>
      </c>
      <c r="O2" t="s">
        <v>63</v>
      </c>
    </row>
    <row r="3" spans="1:15">
      <c r="A3" s="73">
        <v>43466</v>
      </c>
      <c r="B3" t="s">
        <v>23</v>
      </c>
      <c r="C3" s="74">
        <v>0.77083333333333337</v>
      </c>
      <c r="D3" s="74">
        <v>0.80555555555555547</v>
      </c>
      <c r="E3">
        <v>0.83299999999999996</v>
      </c>
      <c r="F3">
        <v>50</v>
      </c>
      <c r="G3" t="s">
        <v>60</v>
      </c>
      <c r="H3" t="s">
        <v>61</v>
      </c>
      <c r="I3" t="s">
        <v>11</v>
      </c>
      <c r="J3" t="s">
        <v>76</v>
      </c>
      <c r="K3">
        <v>12</v>
      </c>
      <c r="L3">
        <v>100</v>
      </c>
      <c r="M3">
        <v>8</v>
      </c>
      <c r="N3">
        <v>1</v>
      </c>
      <c r="O3" t="s">
        <v>63</v>
      </c>
    </row>
    <row r="4" spans="1:15">
      <c r="A4" s="73">
        <v>43466</v>
      </c>
      <c r="B4" t="s">
        <v>23</v>
      </c>
      <c r="C4" s="74">
        <v>0.35416666666666669</v>
      </c>
      <c r="D4" s="74">
        <v>0.3888888888888889</v>
      </c>
      <c r="E4">
        <v>0.83299999999999996</v>
      </c>
      <c r="F4">
        <v>50</v>
      </c>
      <c r="G4" t="s">
        <v>60</v>
      </c>
      <c r="H4" t="s">
        <v>70</v>
      </c>
      <c r="I4" t="s">
        <v>11</v>
      </c>
      <c r="J4" t="s">
        <v>64</v>
      </c>
      <c r="K4">
        <v>12</v>
      </c>
      <c r="L4">
        <v>100</v>
      </c>
      <c r="M4">
        <v>10</v>
      </c>
      <c r="N4">
        <v>5</v>
      </c>
      <c r="O4" t="s">
        <v>63</v>
      </c>
    </row>
    <row r="5" spans="1:15">
      <c r="A5" s="73">
        <v>43466</v>
      </c>
      <c r="B5" t="s">
        <v>23</v>
      </c>
      <c r="C5" s="74">
        <v>0.72916666666666663</v>
      </c>
      <c r="D5" s="74">
        <v>0.76388888888888884</v>
      </c>
      <c r="E5">
        <v>0.83299999999999996</v>
      </c>
      <c r="F5">
        <v>50</v>
      </c>
      <c r="G5" t="s">
        <v>60</v>
      </c>
      <c r="H5" t="s">
        <v>147</v>
      </c>
      <c r="I5" t="s">
        <v>11</v>
      </c>
      <c r="J5" t="s">
        <v>148</v>
      </c>
      <c r="K5">
        <v>14</v>
      </c>
      <c r="L5">
        <v>93.33</v>
      </c>
      <c r="M5">
        <v>11</v>
      </c>
      <c r="N5">
        <v>0</v>
      </c>
      <c r="O5" t="s">
        <v>63</v>
      </c>
    </row>
    <row r="6" spans="1:15">
      <c r="A6" s="73">
        <v>43467</v>
      </c>
      <c r="B6" t="s">
        <v>24</v>
      </c>
      <c r="C6" s="74">
        <v>0.77083333333333337</v>
      </c>
      <c r="D6" s="74">
        <v>0.80555555555555547</v>
      </c>
      <c r="E6">
        <v>0.83299999999999996</v>
      </c>
      <c r="F6">
        <v>50</v>
      </c>
      <c r="G6" t="s">
        <v>60</v>
      </c>
      <c r="H6" t="s">
        <v>17</v>
      </c>
      <c r="I6" t="s">
        <v>11</v>
      </c>
      <c r="J6" t="s">
        <v>149</v>
      </c>
      <c r="K6">
        <v>15</v>
      </c>
      <c r="L6">
        <v>100</v>
      </c>
      <c r="M6">
        <v>11</v>
      </c>
      <c r="N6">
        <v>10</v>
      </c>
      <c r="O6" t="s">
        <v>63</v>
      </c>
    </row>
    <row r="7" spans="1:15">
      <c r="A7" s="73">
        <v>43467</v>
      </c>
      <c r="B7" t="s">
        <v>24</v>
      </c>
      <c r="C7" s="74">
        <v>0.3125</v>
      </c>
      <c r="D7" s="74">
        <v>0.34722222222222227</v>
      </c>
      <c r="E7">
        <v>0.83299999999999996</v>
      </c>
      <c r="F7">
        <v>50</v>
      </c>
      <c r="G7" t="s">
        <v>60</v>
      </c>
      <c r="H7" t="s">
        <v>150</v>
      </c>
      <c r="I7" t="s">
        <v>11</v>
      </c>
      <c r="J7" t="s">
        <v>64</v>
      </c>
      <c r="K7">
        <v>12</v>
      </c>
      <c r="L7">
        <v>100</v>
      </c>
      <c r="M7">
        <v>6</v>
      </c>
      <c r="N7">
        <v>0</v>
      </c>
      <c r="O7" t="s">
        <v>63</v>
      </c>
    </row>
    <row r="8" spans="1:15">
      <c r="A8" s="73">
        <v>43467</v>
      </c>
      <c r="B8" t="s">
        <v>24</v>
      </c>
      <c r="C8" s="74">
        <v>0.72916666666666663</v>
      </c>
      <c r="D8" s="74">
        <v>0.76388888888888884</v>
      </c>
      <c r="E8">
        <v>0.83299999999999996</v>
      </c>
      <c r="F8">
        <v>50</v>
      </c>
      <c r="G8" t="s">
        <v>60</v>
      </c>
      <c r="H8" t="s">
        <v>17</v>
      </c>
      <c r="I8" t="s">
        <v>11</v>
      </c>
      <c r="J8" t="s">
        <v>66</v>
      </c>
      <c r="K8">
        <v>10</v>
      </c>
      <c r="L8">
        <v>100</v>
      </c>
      <c r="M8">
        <v>8</v>
      </c>
      <c r="N8">
        <v>11</v>
      </c>
      <c r="O8" t="s">
        <v>63</v>
      </c>
    </row>
    <row r="9" spans="1:15">
      <c r="A9" s="73">
        <v>43468</v>
      </c>
      <c r="B9" t="s">
        <v>20</v>
      </c>
      <c r="C9" s="74">
        <v>0.35416666666666669</v>
      </c>
      <c r="D9" s="74">
        <v>0.3888888888888889</v>
      </c>
      <c r="E9">
        <v>0.83299999999999996</v>
      </c>
      <c r="F9">
        <v>50</v>
      </c>
      <c r="G9" t="s">
        <v>60</v>
      </c>
      <c r="H9" t="s">
        <v>145</v>
      </c>
      <c r="I9" t="s">
        <v>11</v>
      </c>
      <c r="J9" t="s">
        <v>66</v>
      </c>
      <c r="K9">
        <v>10</v>
      </c>
      <c r="L9">
        <v>100</v>
      </c>
      <c r="M9">
        <v>8</v>
      </c>
      <c r="N9">
        <v>2</v>
      </c>
      <c r="O9" t="s">
        <v>63</v>
      </c>
    </row>
    <row r="10" spans="1:15">
      <c r="A10" s="73">
        <v>43468</v>
      </c>
      <c r="B10" t="s">
        <v>20</v>
      </c>
      <c r="C10" s="74">
        <v>0.72916666666666663</v>
      </c>
      <c r="D10" s="74">
        <v>0.76388888888888884</v>
      </c>
      <c r="E10">
        <v>0.83299999999999996</v>
      </c>
      <c r="F10">
        <v>50</v>
      </c>
      <c r="G10" t="s">
        <v>60</v>
      </c>
      <c r="H10" t="s">
        <v>70</v>
      </c>
      <c r="I10" t="s">
        <v>11</v>
      </c>
      <c r="J10" t="s">
        <v>151</v>
      </c>
      <c r="K10">
        <v>12</v>
      </c>
      <c r="L10">
        <v>100</v>
      </c>
      <c r="M10">
        <v>9</v>
      </c>
      <c r="N10">
        <v>5</v>
      </c>
      <c r="O10" t="s">
        <v>63</v>
      </c>
    </row>
    <row r="11" spans="1:15">
      <c r="A11" s="73">
        <v>43468</v>
      </c>
      <c r="B11" t="s">
        <v>20</v>
      </c>
      <c r="C11" s="74">
        <v>0.77083333333333337</v>
      </c>
      <c r="D11" s="74">
        <v>0.80555555555555547</v>
      </c>
      <c r="E11">
        <v>0.83299999999999996</v>
      </c>
      <c r="F11">
        <v>50</v>
      </c>
      <c r="G11" t="s">
        <v>60</v>
      </c>
      <c r="H11" t="s">
        <v>14</v>
      </c>
      <c r="I11" t="s">
        <v>11</v>
      </c>
      <c r="J11" t="s">
        <v>152</v>
      </c>
      <c r="K11">
        <v>20</v>
      </c>
      <c r="L11">
        <v>100</v>
      </c>
      <c r="M11">
        <v>18</v>
      </c>
      <c r="N11">
        <v>0</v>
      </c>
      <c r="O11" t="s">
        <v>63</v>
      </c>
    </row>
    <row r="12" spans="1:15">
      <c r="A12" s="73">
        <v>43468</v>
      </c>
      <c r="B12" t="s">
        <v>20</v>
      </c>
      <c r="C12" s="74">
        <v>0.3125</v>
      </c>
      <c r="D12" s="74">
        <v>0.34722222222222227</v>
      </c>
      <c r="E12">
        <v>0.83299999999999996</v>
      </c>
      <c r="F12">
        <v>50</v>
      </c>
      <c r="G12" t="s">
        <v>60</v>
      </c>
      <c r="H12" t="s">
        <v>61</v>
      </c>
      <c r="I12" t="s">
        <v>11</v>
      </c>
      <c r="J12" t="s">
        <v>62</v>
      </c>
      <c r="K12">
        <v>11</v>
      </c>
      <c r="L12">
        <v>78.569999999999993</v>
      </c>
      <c r="M12">
        <v>9</v>
      </c>
      <c r="N12">
        <v>0</v>
      </c>
      <c r="O12" t="s">
        <v>63</v>
      </c>
    </row>
    <row r="13" spans="1:15">
      <c r="A13" s="73">
        <v>43471</v>
      </c>
      <c r="B13" t="s">
        <v>21</v>
      </c>
      <c r="C13" s="74">
        <v>0.35416666666666669</v>
      </c>
      <c r="D13" s="74">
        <v>0.3888888888888889</v>
      </c>
      <c r="E13">
        <v>0.83299999999999996</v>
      </c>
      <c r="F13">
        <v>50</v>
      </c>
      <c r="G13" t="s">
        <v>60</v>
      </c>
      <c r="H13" t="s">
        <v>70</v>
      </c>
      <c r="I13" t="s">
        <v>11</v>
      </c>
      <c r="J13" t="s">
        <v>64</v>
      </c>
      <c r="K13">
        <v>12</v>
      </c>
      <c r="L13">
        <v>100</v>
      </c>
      <c r="M13">
        <v>12</v>
      </c>
      <c r="N13">
        <v>5</v>
      </c>
      <c r="O13" t="s">
        <v>63</v>
      </c>
    </row>
    <row r="14" spans="1:15">
      <c r="A14" s="73">
        <v>43471</v>
      </c>
      <c r="B14" t="s">
        <v>21</v>
      </c>
      <c r="C14" s="74">
        <v>0.79166666666666663</v>
      </c>
      <c r="D14" s="74">
        <v>0.82638888888888884</v>
      </c>
      <c r="E14">
        <v>0.83299999999999996</v>
      </c>
      <c r="F14">
        <v>50</v>
      </c>
      <c r="G14" t="s">
        <v>60</v>
      </c>
      <c r="H14" t="s">
        <v>14</v>
      </c>
      <c r="I14" t="s">
        <v>11</v>
      </c>
      <c r="J14" t="s">
        <v>152</v>
      </c>
      <c r="K14">
        <v>15</v>
      </c>
      <c r="L14">
        <v>100</v>
      </c>
      <c r="M14">
        <v>15</v>
      </c>
      <c r="N14">
        <v>0</v>
      </c>
      <c r="O14" t="s">
        <v>63</v>
      </c>
    </row>
    <row r="15" spans="1:15">
      <c r="A15" s="73">
        <v>43471</v>
      </c>
      <c r="B15" t="s">
        <v>21</v>
      </c>
      <c r="C15" s="74">
        <v>0.75</v>
      </c>
      <c r="D15" s="74">
        <v>0.78472222222222221</v>
      </c>
      <c r="E15">
        <v>0.83299999999999996</v>
      </c>
      <c r="F15">
        <v>50</v>
      </c>
      <c r="G15" t="s">
        <v>60</v>
      </c>
      <c r="H15" t="s">
        <v>61</v>
      </c>
      <c r="I15" t="s">
        <v>11</v>
      </c>
      <c r="J15" t="s">
        <v>76</v>
      </c>
      <c r="K15">
        <v>12</v>
      </c>
      <c r="L15">
        <v>100</v>
      </c>
      <c r="M15">
        <v>10</v>
      </c>
      <c r="N15">
        <v>4</v>
      </c>
      <c r="O15" t="s">
        <v>63</v>
      </c>
    </row>
    <row r="16" spans="1:15">
      <c r="A16" s="73">
        <v>43472</v>
      </c>
      <c r="B16" t="s">
        <v>22</v>
      </c>
      <c r="C16" s="74">
        <v>0.3125</v>
      </c>
      <c r="D16" s="74">
        <v>0.34722222222222227</v>
      </c>
      <c r="E16">
        <v>0.83299999999999996</v>
      </c>
      <c r="F16">
        <v>50</v>
      </c>
      <c r="G16" t="s">
        <v>60</v>
      </c>
      <c r="H16" t="s">
        <v>17</v>
      </c>
      <c r="I16" t="s">
        <v>11</v>
      </c>
      <c r="J16" t="s">
        <v>66</v>
      </c>
      <c r="K16">
        <v>12</v>
      </c>
      <c r="L16">
        <v>100</v>
      </c>
      <c r="M16">
        <v>12</v>
      </c>
      <c r="N16">
        <v>5</v>
      </c>
      <c r="O16" t="s">
        <v>63</v>
      </c>
    </row>
    <row r="17" spans="1:15">
      <c r="A17" s="73">
        <v>43472</v>
      </c>
      <c r="B17" t="s">
        <v>22</v>
      </c>
      <c r="C17" s="74">
        <v>0.75</v>
      </c>
      <c r="D17" s="74">
        <v>0.78472222222222221</v>
      </c>
      <c r="E17">
        <v>0.83299999999999996</v>
      </c>
      <c r="F17">
        <v>50</v>
      </c>
      <c r="G17" t="s">
        <v>60</v>
      </c>
      <c r="H17" t="s">
        <v>68</v>
      </c>
      <c r="I17" t="s">
        <v>11</v>
      </c>
      <c r="J17" t="s">
        <v>67</v>
      </c>
      <c r="K17">
        <v>15</v>
      </c>
      <c r="L17">
        <v>100</v>
      </c>
      <c r="M17">
        <v>13</v>
      </c>
      <c r="N17">
        <v>3</v>
      </c>
      <c r="O17" t="s">
        <v>63</v>
      </c>
    </row>
    <row r="18" spans="1:15">
      <c r="A18" s="73">
        <v>43472</v>
      </c>
      <c r="B18" t="s">
        <v>22</v>
      </c>
      <c r="C18" s="74">
        <v>0.70833333333333337</v>
      </c>
      <c r="D18" s="74">
        <v>0.74305555555555547</v>
      </c>
      <c r="E18">
        <v>0.83299999999999996</v>
      </c>
      <c r="F18">
        <v>50</v>
      </c>
      <c r="G18" t="s">
        <v>60</v>
      </c>
      <c r="H18" t="s">
        <v>70</v>
      </c>
      <c r="I18" t="s">
        <v>11</v>
      </c>
      <c r="J18" t="s">
        <v>64</v>
      </c>
      <c r="K18">
        <v>12</v>
      </c>
      <c r="L18">
        <v>100</v>
      </c>
      <c r="M18">
        <v>10</v>
      </c>
      <c r="N18">
        <v>5</v>
      </c>
      <c r="O18" t="s">
        <v>63</v>
      </c>
    </row>
    <row r="19" spans="1:15">
      <c r="A19" s="73">
        <v>43472</v>
      </c>
      <c r="B19" t="s">
        <v>22</v>
      </c>
      <c r="C19" s="74">
        <v>0.35416666666666669</v>
      </c>
      <c r="D19" s="74">
        <v>0.3888888888888889</v>
      </c>
      <c r="E19">
        <v>0.83299999999999996</v>
      </c>
      <c r="F19">
        <v>50</v>
      </c>
      <c r="G19" t="s">
        <v>60</v>
      </c>
      <c r="H19" t="s">
        <v>17</v>
      </c>
      <c r="I19" t="s">
        <v>11</v>
      </c>
      <c r="J19" t="s">
        <v>149</v>
      </c>
      <c r="K19">
        <v>10</v>
      </c>
      <c r="L19">
        <v>66.67</v>
      </c>
      <c r="M19">
        <v>7</v>
      </c>
      <c r="N19">
        <v>0</v>
      </c>
      <c r="O19" t="s">
        <v>63</v>
      </c>
    </row>
    <row r="20" spans="1:15">
      <c r="A20" s="73">
        <v>43473</v>
      </c>
      <c r="B20" t="s">
        <v>23</v>
      </c>
      <c r="C20" s="74">
        <v>0.3125</v>
      </c>
      <c r="D20" s="74">
        <v>0.34722222222222227</v>
      </c>
      <c r="E20">
        <v>0.83299999999999996</v>
      </c>
      <c r="F20">
        <v>50</v>
      </c>
      <c r="G20" t="s">
        <v>60</v>
      </c>
      <c r="H20" t="s">
        <v>13</v>
      </c>
      <c r="I20" t="s">
        <v>11</v>
      </c>
      <c r="J20" t="s">
        <v>67</v>
      </c>
      <c r="K20">
        <v>12</v>
      </c>
      <c r="L20">
        <v>80</v>
      </c>
      <c r="M20">
        <v>11</v>
      </c>
      <c r="N20">
        <v>0</v>
      </c>
      <c r="O20" t="s">
        <v>63</v>
      </c>
    </row>
    <row r="21" spans="1:15">
      <c r="A21" s="73">
        <v>43473</v>
      </c>
      <c r="B21" t="s">
        <v>23</v>
      </c>
      <c r="C21" s="74">
        <v>0.78125</v>
      </c>
      <c r="D21" s="74">
        <v>0.81597222222222221</v>
      </c>
      <c r="E21">
        <v>0.83299999999999996</v>
      </c>
      <c r="F21">
        <v>50</v>
      </c>
      <c r="G21" t="s">
        <v>60</v>
      </c>
      <c r="H21" t="s">
        <v>61</v>
      </c>
      <c r="I21" t="s">
        <v>11</v>
      </c>
      <c r="J21" t="s">
        <v>76</v>
      </c>
      <c r="K21">
        <v>12</v>
      </c>
      <c r="L21">
        <v>100</v>
      </c>
      <c r="M21">
        <v>9</v>
      </c>
      <c r="N21">
        <v>4</v>
      </c>
      <c r="O21" t="s">
        <v>63</v>
      </c>
    </row>
    <row r="22" spans="1:15">
      <c r="A22" s="73">
        <v>43473</v>
      </c>
      <c r="B22" t="s">
        <v>23</v>
      </c>
      <c r="C22" s="74">
        <v>0.35416666666666669</v>
      </c>
      <c r="D22" s="74">
        <v>0.3888888888888889</v>
      </c>
      <c r="E22">
        <v>0.83299999999999996</v>
      </c>
      <c r="F22">
        <v>50</v>
      </c>
      <c r="G22" t="s">
        <v>60</v>
      </c>
      <c r="H22" t="s">
        <v>70</v>
      </c>
      <c r="I22" t="s">
        <v>11</v>
      </c>
      <c r="J22" t="s">
        <v>64</v>
      </c>
      <c r="K22">
        <v>11</v>
      </c>
      <c r="L22">
        <v>91.67</v>
      </c>
      <c r="M22">
        <v>10</v>
      </c>
      <c r="N22">
        <v>0</v>
      </c>
      <c r="O22" t="s">
        <v>63</v>
      </c>
    </row>
    <row r="23" spans="1:15">
      <c r="A23" s="73">
        <v>43473</v>
      </c>
      <c r="B23" t="s">
        <v>23</v>
      </c>
      <c r="C23" s="74">
        <v>0.73958333333333337</v>
      </c>
      <c r="D23" s="74">
        <v>0.77430555555555547</v>
      </c>
      <c r="E23">
        <v>0.83299999999999996</v>
      </c>
      <c r="F23">
        <v>50</v>
      </c>
      <c r="G23" t="s">
        <v>60</v>
      </c>
      <c r="H23" t="s">
        <v>147</v>
      </c>
      <c r="I23" t="s">
        <v>11</v>
      </c>
      <c r="J23" t="s">
        <v>148</v>
      </c>
      <c r="K23">
        <v>13</v>
      </c>
      <c r="L23">
        <v>86.67</v>
      </c>
      <c r="M23">
        <v>8</v>
      </c>
      <c r="N23">
        <v>0</v>
      </c>
      <c r="O23" t="s">
        <v>63</v>
      </c>
    </row>
    <row r="24" spans="1:15">
      <c r="A24" s="73">
        <v>43474</v>
      </c>
      <c r="B24" t="s">
        <v>24</v>
      </c>
      <c r="C24" s="74">
        <v>0.77083333333333337</v>
      </c>
      <c r="D24" s="74">
        <v>0.80555555555555547</v>
      </c>
      <c r="E24">
        <v>0.83299999999999996</v>
      </c>
      <c r="F24">
        <v>50</v>
      </c>
      <c r="G24" t="s">
        <v>60</v>
      </c>
      <c r="H24" t="s">
        <v>61</v>
      </c>
      <c r="I24" t="s">
        <v>11</v>
      </c>
      <c r="J24" t="s">
        <v>149</v>
      </c>
      <c r="K24">
        <v>15</v>
      </c>
      <c r="L24">
        <v>100</v>
      </c>
      <c r="M24">
        <v>12</v>
      </c>
      <c r="N24">
        <v>2</v>
      </c>
      <c r="O24" t="s">
        <v>63</v>
      </c>
    </row>
    <row r="25" spans="1:15">
      <c r="A25" s="73">
        <v>43474</v>
      </c>
      <c r="B25" t="s">
        <v>24</v>
      </c>
      <c r="C25" s="74">
        <v>0.3125</v>
      </c>
      <c r="D25" s="74">
        <v>0.34722222222222227</v>
      </c>
      <c r="E25">
        <v>0.83299999999999996</v>
      </c>
      <c r="F25">
        <v>50</v>
      </c>
      <c r="G25" t="s">
        <v>60</v>
      </c>
      <c r="H25" t="s">
        <v>153</v>
      </c>
      <c r="I25" t="s">
        <v>11</v>
      </c>
      <c r="J25" t="s">
        <v>64</v>
      </c>
      <c r="K25">
        <v>12</v>
      </c>
      <c r="L25">
        <v>100</v>
      </c>
      <c r="M25">
        <v>9</v>
      </c>
      <c r="N25">
        <v>1</v>
      </c>
      <c r="O25" t="s">
        <v>63</v>
      </c>
    </row>
    <row r="26" spans="1:15">
      <c r="A26" s="73">
        <v>43474</v>
      </c>
      <c r="B26" t="s">
        <v>24</v>
      </c>
      <c r="C26" s="74">
        <v>0.72916666666666663</v>
      </c>
      <c r="D26" s="74">
        <v>0.76388888888888884</v>
      </c>
      <c r="E26">
        <v>0.83299999999999996</v>
      </c>
      <c r="F26">
        <v>50</v>
      </c>
      <c r="G26" t="s">
        <v>60</v>
      </c>
      <c r="H26" t="s">
        <v>61</v>
      </c>
      <c r="I26" t="s">
        <v>11</v>
      </c>
      <c r="J26" t="s">
        <v>76</v>
      </c>
      <c r="K26">
        <v>12</v>
      </c>
      <c r="L26">
        <v>100</v>
      </c>
      <c r="M26">
        <v>10</v>
      </c>
      <c r="N26">
        <v>5</v>
      </c>
      <c r="O26" t="s">
        <v>63</v>
      </c>
    </row>
    <row r="27" spans="1:15">
      <c r="A27" s="73">
        <v>43474</v>
      </c>
      <c r="B27" t="s">
        <v>24</v>
      </c>
      <c r="C27" s="74">
        <v>0.35416666666666669</v>
      </c>
      <c r="D27" s="74">
        <v>0.3888888888888889</v>
      </c>
      <c r="E27">
        <v>0.83299999999999996</v>
      </c>
      <c r="F27">
        <v>50</v>
      </c>
      <c r="G27" t="s">
        <v>60</v>
      </c>
      <c r="H27" t="s">
        <v>16</v>
      </c>
      <c r="I27" t="s">
        <v>11</v>
      </c>
      <c r="J27" t="s">
        <v>62</v>
      </c>
      <c r="K27">
        <v>5</v>
      </c>
      <c r="L27">
        <v>35.71</v>
      </c>
      <c r="M27">
        <v>3</v>
      </c>
      <c r="N27">
        <v>0</v>
      </c>
      <c r="O27" t="s">
        <v>63</v>
      </c>
    </row>
    <row r="28" spans="1:15">
      <c r="A28" s="73">
        <v>43475</v>
      </c>
      <c r="B28" t="s">
        <v>20</v>
      </c>
      <c r="C28" s="74">
        <v>0.72916666666666663</v>
      </c>
      <c r="D28" s="74">
        <v>0.76388888888888884</v>
      </c>
      <c r="E28">
        <v>0.83299999999999996</v>
      </c>
      <c r="F28">
        <v>50</v>
      </c>
      <c r="G28" t="s">
        <v>60</v>
      </c>
      <c r="H28" t="s">
        <v>70</v>
      </c>
      <c r="I28" t="s">
        <v>11</v>
      </c>
      <c r="J28" t="s">
        <v>151</v>
      </c>
      <c r="K28">
        <v>12</v>
      </c>
      <c r="L28">
        <v>100</v>
      </c>
      <c r="M28">
        <v>11</v>
      </c>
      <c r="N28">
        <v>7</v>
      </c>
      <c r="O28" t="s">
        <v>63</v>
      </c>
    </row>
    <row r="29" spans="1:15">
      <c r="A29" s="73">
        <v>43475</v>
      </c>
      <c r="B29" t="s">
        <v>20</v>
      </c>
      <c r="C29" s="74">
        <v>0.77083333333333337</v>
      </c>
      <c r="D29" s="74">
        <v>0.80555555555555547</v>
      </c>
      <c r="E29">
        <v>0.83299999999999996</v>
      </c>
      <c r="F29">
        <v>50</v>
      </c>
      <c r="G29" t="s">
        <v>60</v>
      </c>
      <c r="H29" t="s">
        <v>14</v>
      </c>
      <c r="I29" t="s">
        <v>11</v>
      </c>
      <c r="J29" t="s">
        <v>154</v>
      </c>
      <c r="K29">
        <v>15</v>
      </c>
      <c r="L29">
        <v>100</v>
      </c>
      <c r="M29">
        <v>12</v>
      </c>
      <c r="N29">
        <v>3</v>
      </c>
      <c r="O29" t="s">
        <v>63</v>
      </c>
    </row>
    <row r="30" spans="1:15">
      <c r="A30" s="73">
        <v>43475</v>
      </c>
      <c r="B30" t="s">
        <v>20</v>
      </c>
      <c r="C30" s="74">
        <v>0.3125</v>
      </c>
      <c r="D30" s="74">
        <v>0.34722222222222227</v>
      </c>
      <c r="E30">
        <v>0.83299999999999996</v>
      </c>
      <c r="F30">
        <v>50</v>
      </c>
      <c r="G30" t="s">
        <v>60</v>
      </c>
      <c r="H30" t="s">
        <v>61</v>
      </c>
      <c r="I30" t="s">
        <v>11</v>
      </c>
      <c r="J30" t="s">
        <v>152</v>
      </c>
      <c r="K30">
        <v>8</v>
      </c>
      <c r="L30">
        <v>53.33</v>
      </c>
      <c r="M30">
        <v>6</v>
      </c>
      <c r="N30">
        <v>0</v>
      </c>
      <c r="O30" t="s">
        <v>63</v>
      </c>
    </row>
    <row r="31" spans="1:15">
      <c r="A31" s="73">
        <v>43475</v>
      </c>
      <c r="B31" t="s">
        <v>20</v>
      </c>
      <c r="C31" s="74">
        <v>0.35416666666666669</v>
      </c>
      <c r="D31" s="74">
        <v>0.3888888888888889</v>
      </c>
      <c r="E31">
        <v>0.83299999999999996</v>
      </c>
      <c r="F31">
        <v>50</v>
      </c>
      <c r="G31" t="s">
        <v>60</v>
      </c>
      <c r="H31" t="s">
        <v>145</v>
      </c>
      <c r="I31" t="s">
        <v>11</v>
      </c>
      <c r="J31" t="s">
        <v>66</v>
      </c>
      <c r="K31">
        <v>11</v>
      </c>
      <c r="L31">
        <v>91.67</v>
      </c>
      <c r="M31">
        <v>7</v>
      </c>
      <c r="N31">
        <v>0</v>
      </c>
      <c r="O31" t="s">
        <v>63</v>
      </c>
    </row>
    <row r="32" spans="1:15">
      <c r="A32" s="73">
        <v>43478</v>
      </c>
      <c r="B32" t="s">
        <v>21</v>
      </c>
      <c r="C32" s="74">
        <v>0.35416666666666669</v>
      </c>
      <c r="D32" s="74">
        <v>0.3888888888888889</v>
      </c>
      <c r="E32">
        <v>0.83299999999999996</v>
      </c>
      <c r="F32">
        <v>50</v>
      </c>
      <c r="G32" t="s">
        <v>60</v>
      </c>
      <c r="H32" t="s">
        <v>70</v>
      </c>
      <c r="I32" t="s">
        <v>11</v>
      </c>
      <c r="J32" t="s">
        <v>64</v>
      </c>
      <c r="K32">
        <v>12</v>
      </c>
      <c r="L32">
        <v>100</v>
      </c>
      <c r="M32">
        <v>10</v>
      </c>
      <c r="N32">
        <v>2</v>
      </c>
      <c r="O32" t="s">
        <v>63</v>
      </c>
    </row>
    <row r="33" spans="1:15">
      <c r="A33" s="73">
        <v>43478</v>
      </c>
      <c r="B33" t="s">
        <v>21</v>
      </c>
      <c r="C33" s="74">
        <v>0.79166666666666663</v>
      </c>
      <c r="D33" s="74">
        <v>0.82638888888888884</v>
      </c>
      <c r="E33">
        <v>0.83299999999999996</v>
      </c>
      <c r="F33">
        <v>50</v>
      </c>
      <c r="G33" t="s">
        <v>60</v>
      </c>
      <c r="H33" t="s">
        <v>14</v>
      </c>
      <c r="I33" t="s">
        <v>11</v>
      </c>
      <c r="J33" t="s">
        <v>154</v>
      </c>
      <c r="K33">
        <v>17</v>
      </c>
      <c r="L33">
        <v>113.33</v>
      </c>
      <c r="M33">
        <v>15</v>
      </c>
      <c r="N33">
        <v>4</v>
      </c>
      <c r="O33" t="s">
        <v>63</v>
      </c>
    </row>
    <row r="34" spans="1:15">
      <c r="A34" s="73">
        <v>43478</v>
      </c>
      <c r="B34" t="s">
        <v>21</v>
      </c>
      <c r="C34" s="74">
        <v>0.75</v>
      </c>
      <c r="D34" s="74">
        <v>0.78472222222222221</v>
      </c>
      <c r="E34">
        <v>0.83299999999999996</v>
      </c>
      <c r="F34">
        <v>50</v>
      </c>
      <c r="G34" t="s">
        <v>60</v>
      </c>
      <c r="H34" t="s">
        <v>61</v>
      </c>
      <c r="I34" t="s">
        <v>11</v>
      </c>
      <c r="J34" t="s">
        <v>76</v>
      </c>
      <c r="K34">
        <v>13</v>
      </c>
      <c r="L34">
        <v>108.33</v>
      </c>
      <c r="M34">
        <v>12</v>
      </c>
      <c r="N34">
        <v>2</v>
      </c>
      <c r="O34" t="s">
        <v>63</v>
      </c>
    </row>
    <row r="35" spans="1:15">
      <c r="A35" s="73">
        <v>43479</v>
      </c>
      <c r="B35" t="s">
        <v>22</v>
      </c>
      <c r="C35" s="74">
        <v>0.3125</v>
      </c>
      <c r="D35" s="74">
        <v>0.34722222222222227</v>
      </c>
      <c r="E35">
        <v>0.83299999999999996</v>
      </c>
      <c r="F35">
        <v>50</v>
      </c>
      <c r="G35" t="s">
        <v>60</v>
      </c>
      <c r="H35" t="s">
        <v>17</v>
      </c>
      <c r="I35" t="s">
        <v>11</v>
      </c>
      <c r="J35" t="s">
        <v>66</v>
      </c>
      <c r="K35">
        <v>13</v>
      </c>
      <c r="L35">
        <v>108.33</v>
      </c>
      <c r="M35">
        <v>12</v>
      </c>
      <c r="N35">
        <v>2</v>
      </c>
      <c r="O35" t="s">
        <v>63</v>
      </c>
    </row>
    <row r="36" spans="1:15">
      <c r="A36" s="73">
        <v>43479</v>
      </c>
      <c r="B36" t="s">
        <v>22</v>
      </c>
      <c r="C36" s="74">
        <v>0.79166666666666663</v>
      </c>
      <c r="D36" s="74">
        <v>0.82638888888888884</v>
      </c>
      <c r="E36">
        <v>0.83299999999999996</v>
      </c>
      <c r="F36">
        <v>50</v>
      </c>
      <c r="G36" t="s">
        <v>60</v>
      </c>
      <c r="H36" t="s">
        <v>68</v>
      </c>
      <c r="I36" t="s">
        <v>11</v>
      </c>
      <c r="J36" t="s">
        <v>67</v>
      </c>
      <c r="K36">
        <v>15</v>
      </c>
      <c r="L36">
        <v>100</v>
      </c>
      <c r="M36">
        <v>11</v>
      </c>
      <c r="N36">
        <v>2</v>
      </c>
      <c r="O36" t="s">
        <v>63</v>
      </c>
    </row>
    <row r="37" spans="1:15">
      <c r="A37" s="73">
        <v>43479</v>
      </c>
      <c r="B37" t="s">
        <v>22</v>
      </c>
      <c r="C37" s="74">
        <v>0.70833333333333337</v>
      </c>
      <c r="D37" s="74">
        <v>0.74305555555555547</v>
      </c>
      <c r="E37">
        <v>0.83299999999999996</v>
      </c>
      <c r="F37">
        <v>50</v>
      </c>
      <c r="G37" t="s">
        <v>60</v>
      </c>
      <c r="H37" t="s">
        <v>68</v>
      </c>
      <c r="I37" t="s">
        <v>11</v>
      </c>
      <c r="J37" t="s">
        <v>64</v>
      </c>
      <c r="K37">
        <v>12</v>
      </c>
      <c r="L37">
        <v>100</v>
      </c>
      <c r="M37">
        <v>10</v>
      </c>
      <c r="N37">
        <v>4</v>
      </c>
      <c r="O37" t="s">
        <v>63</v>
      </c>
    </row>
    <row r="38" spans="1:15">
      <c r="A38" s="73">
        <v>43479</v>
      </c>
      <c r="B38" t="s">
        <v>22</v>
      </c>
      <c r="C38" s="74">
        <v>0.35416666666666669</v>
      </c>
      <c r="D38" s="74">
        <v>0.3888888888888889</v>
      </c>
      <c r="E38">
        <v>0.83299999999999996</v>
      </c>
      <c r="F38">
        <v>50</v>
      </c>
      <c r="G38" t="s">
        <v>60</v>
      </c>
      <c r="H38" t="s">
        <v>17</v>
      </c>
      <c r="I38" t="s">
        <v>11</v>
      </c>
      <c r="J38" t="s">
        <v>149</v>
      </c>
      <c r="K38">
        <v>13</v>
      </c>
      <c r="L38">
        <v>86.67</v>
      </c>
      <c r="M38">
        <v>11</v>
      </c>
      <c r="N38">
        <v>0</v>
      </c>
      <c r="O38" t="s">
        <v>63</v>
      </c>
    </row>
    <row r="39" spans="1:15">
      <c r="A39" s="73">
        <v>43479</v>
      </c>
      <c r="B39" t="s">
        <v>22</v>
      </c>
      <c r="C39" s="74">
        <v>0.75</v>
      </c>
      <c r="D39" s="74">
        <v>0.78472222222222221</v>
      </c>
      <c r="E39">
        <v>0.83299999999999996</v>
      </c>
      <c r="F39">
        <v>50</v>
      </c>
      <c r="G39" t="s">
        <v>60</v>
      </c>
      <c r="H39" t="s">
        <v>155</v>
      </c>
      <c r="I39" t="s">
        <v>11</v>
      </c>
      <c r="J39" t="s">
        <v>154</v>
      </c>
      <c r="K39">
        <v>16</v>
      </c>
      <c r="L39">
        <v>106.67</v>
      </c>
      <c r="M39">
        <v>15</v>
      </c>
      <c r="N39">
        <v>0</v>
      </c>
      <c r="O39" t="s">
        <v>63</v>
      </c>
    </row>
    <row r="40" spans="1:15">
      <c r="A40" s="73">
        <v>43480</v>
      </c>
      <c r="B40" t="s">
        <v>23</v>
      </c>
      <c r="C40" s="74">
        <v>0.3125</v>
      </c>
      <c r="D40" s="74">
        <v>0.34722222222222227</v>
      </c>
      <c r="E40">
        <v>0.83299999999999996</v>
      </c>
      <c r="F40">
        <v>50</v>
      </c>
      <c r="G40" t="s">
        <v>60</v>
      </c>
      <c r="H40" t="s">
        <v>13</v>
      </c>
      <c r="I40" t="s">
        <v>11</v>
      </c>
      <c r="J40" t="s">
        <v>67</v>
      </c>
      <c r="K40">
        <v>11</v>
      </c>
      <c r="L40">
        <v>73.33</v>
      </c>
      <c r="M40">
        <v>9</v>
      </c>
      <c r="N40">
        <v>0</v>
      </c>
      <c r="O40" t="s">
        <v>63</v>
      </c>
    </row>
    <row r="41" spans="1:15">
      <c r="A41" s="73">
        <v>43480</v>
      </c>
      <c r="B41" t="s">
        <v>23</v>
      </c>
      <c r="C41" s="74">
        <v>0.78125</v>
      </c>
      <c r="D41" s="74">
        <v>0.81597222222222221</v>
      </c>
      <c r="E41">
        <v>0.83299999999999996</v>
      </c>
      <c r="F41">
        <v>50</v>
      </c>
      <c r="G41" t="s">
        <v>60</v>
      </c>
      <c r="H41" t="s">
        <v>61</v>
      </c>
      <c r="I41" t="s">
        <v>11</v>
      </c>
      <c r="J41" t="s">
        <v>76</v>
      </c>
      <c r="K41">
        <v>13</v>
      </c>
      <c r="L41">
        <v>108.33</v>
      </c>
      <c r="M41">
        <v>11</v>
      </c>
      <c r="N41">
        <v>0</v>
      </c>
      <c r="O41" t="s">
        <v>63</v>
      </c>
    </row>
    <row r="42" spans="1:15">
      <c r="A42" s="73">
        <v>43480</v>
      </c>
      <c r="B42" t="s">
        <v>23</v>
      </c>
      <c r="C42" s="74">
        <v>0.35416666666666669</v>
      </c>
      <c r="D42" s="74">
        <v>0.3888888888888889</v>
      </c>
      <c r="E42">
        <v>0.83299999999999996</v>
      </c>
      <c r="F42">
        <v>50</v>
      </c>
      <c r="G42" t="s">
        <v>60</v>
      </c>
      <c r="H42" t="s">
        <v>70</v>
      </c>
      <c r="I42" t="s">
        <v>11</v>
      </c>
      <c r="J42" t="s">
        <v>151</v>
      </c>
      <c r="K42">
        <v>12</v>
      </c>
      <c r="L42">
        <v>100</v>
      </c>
      <c r="M42">
        <v>8</v>
      </c>
      <c r="N42">
        <v>7</v>
      </c>
      <c r="O42" t="s">
        <v>63</v>
      </c>
    </row>
    <row r="43" spans="1:15">
      <c r="A43" s="73">
        <v>43480</v>
      </c>
      <c r="B43" t="s">
        <v>23</v>
      </c>
      <c r="C43" s="74">
        <v>0.73958333333333337</v>
      </c>
      <c r="D43" s="74">
        <v>0.77430555555555547</v>
      </c>
      <c r="E43">
        <v>0.83299999999999996</v>
      </c>
      <c r="F43">
        <v>50</v>
      </c>
      <c r="G43" t="s">
        <v>60</v>
      </c>
      <c r="H43" t="s">
        <v>147</v>
      </c>
      <c r="I43" t="s">
        <v>11</v>
      </c>
      <c r="J43" t="s">
        <v>148</v>
      </c>
      <c r="K43">
        <v>15</v>
      </c>
      <c r="L43">
        <v>100</v>
      </c>
      <c r="M43">
        <v>11</v>
      </c>
      <c r="N43">
        <v>1</v>
      </c>
      <c r="O43" t="s">
        <v>63</v>
      </c>
    </row>
    <row r="44" spans="1:15">
      <c r="A44" s="73">
        <v>43481</v>
      </c>
      <c r="B44" t="s">
        <v>24</v>
      </c>
      <c r="C44" s="74">
        <v>0.77083333333333337</v>
      </c>
      <c r="D44" s="74">
        <v>0.80555555555555547</v>
      </c>
      <c r="E44">
        <v>0.83299999999999996</v>
      </c>
      <c r="F44">
        <v>50</v>
      </c>
      <c r="G44" t="s">
        <v>60</v>
      </c>
      <c r="H44" t="s">
        <v>17</v>
      </c>
      <c r="I44" t="s">
        <v>11</v>
      </c>
      <c r="J44" t="s">
        <v>149</v>
      </c>
      <c r="K44">
        <v>15</v>
      </c>
      <c r="L44">
        <v>100</v>
      </c>
      <c r="M44">
        <v>15</v>
      </c>
      <c r="N44">
        <v>3</v>
      </c>
      <c r="O44" t="s">
        <v>63</v>
      </c>
    </row>
    <row r="45" spans="1:15">
      <c r="A45" s="73">
        <v>43481</v>
      </c>
      <c r="B45" t="s">
        <v>24</v>
      </c>
      <c r="C45" s="74">
        <v>0.72916666666666663</v>
      </c>
      <c r="D45" s="74">
        <v>0.76388888888888884</v>
      </c>
      <c r="E45">
        <v>0.83299999999999996</v>
      </c>
      <c r="F45">
        <v>50</v>
      </c>
      <c r="G45" t="s">
        <v>60</v>
      </c>
      <c r="H45" t="s">
        <v>17</v>
      </c>
      <c r="I45" t="s">
        <v>11</v>
      </c>
      <c r="J45" t="s">
        <v>66</v>
      </c>
      <c r="K45">
        <v>12</v>
      </c>
      <c r="L45">
        <v>100</v>
      </c>
      <c r="M45">
        <v>11</v>
      </c>
      <c r="N45">
        <v>1</v>
      </c>
      <c r="O45" t="s">
        <v>63</v>
      </c>
    </row>
    <row r="46" spans="1:15">
      <c r="A46" s="73">
        <v>43481</v>
      </c>
      <c r="B46" t="s">
        <v>24</v>
      </c>
      <c r="C46" s="74">
        <v>0.35416666666666669</v>
      </c>
      <c r="D46" s="74">
        <v>0.3888888888888889</v>
      </c>
      <c r="E46">
        <v>0.83299999999999996</v>
      </c>
      <c r="F46">
        <v>50</v>
      </c>
      <c r="G46" t="s">
        <v>60</v>
      </c>
      <c r="H46" t="s">
        <v>61</v>
      </c>
      <c r="I46" t="s">
        <v>11</v>
      </c>
      <c r="J46" t="s">
        <v>62</v>
      </c>
      <c r="K46">
        <v>8</v>
      </c>
      <c r="L46">
        <v>57.14</v>
      </c>
      <c r="M46">
        <v>8</v>
      </c>
      <c r="N46">
        <v>0</v>
      </c>
      <c r="O46" t="s">
        <v>63</v>
      </c>
    </row>
    <row r="47" spans="1:15">
      <c r="A47" s="73">
        <v>43481</v>
      </c>
      <c r="B47" t="s">
        <v>24</v>
      </c>
      <c r="C47" s="74">
        <v>0.3125</v>
      </c>
      <c r="D47" s="74">
        <v>0.34722222222222227</v>
      </c>
      <c r="E47">
        <v>0.83299999999999996</v>
      </c>
      <c r="F47">
        <v>50</v>
      </c>
      <c r="G47" t="s">
        <v>60</v>
      </c>
      <c r="H47" t="s">
        <v>61</v>
      </c>
      <c r="I47" t="s">
        <v>11</v>
      </c>
      <c r="J47" t="s">
        <v>76</v>
      </c>
      <c r="K47">
        <v>4</v>
      </c>
      <c r="L47">
        <v>33.33</v>
      </c>
      <c r="M47">
        <v>0</v>
      </c>
      <c r="N47">
        <v>0</v>
      </c>
      <c r="O47" t="s">
        <v>63</v>
      </c>
    </row>
    <row r="48" spans="1:15">
      <c r="A48" s="73">
        <v>43482</v>
      </c>
      <c r="B48" t="s">
        <v>20</v>
      </c>
      <c r="C48" s="74">
        <v>0.72916666666666663</v>
      </c>
      <c r="D48" s="74">
        <v>0.76388888888888884</v>
      </c>
      <c r="E48">
        <v>0.83299999999999996</v>
      </c>
      <c r="F48">
        <v>50</v>
      </c>
      <c r="G48" t="s">
        <v>60</v>
      </c>
      <c r="H48" t="s">
        <v>70</v>
      </c>
      <c r="I48" t="s">
        <v>11</v>
      </c>
      <c r="J48" t="s">
        <v>151</v>
      </c>
      <c r="K48">
        <v>14</v>
      </c>
      <c r="L48">
        <v>116.67</v>
      </c>
      <c r="M48">
        <v>11</v>
      </c>
      <c r="N48">
        <v>5</v>
      </c>
      <c r="O48" t="s">
        <v>63</v>
      </c>
    </row>
    <row r="49" spans="1:15">
      <c r="A49" s="73">
        <v>43482</v>
      </c>
      <c r="B49" t="s">
        <v>20</v>
      </c>
      <c r="C49" s="74">
        <v>0.77083333333333337</v>
      </c>
      <c r="D49" s="74">
        <v>0.80555555555555547</v>
      </c>
      <c r="E49">
        <v>0.83299999999999996</v>
      </c>
      <c r="F49">
        <v>50</v>
      </c>
      <c r="G49" t="s">
        <v>60</v>
      </c>
      <c r="H49" t="s">
        <v>14</v>
      </c>
      <c r="I49" t="s">
        <v>11</v>
      </c>
      <c r="J49" t="s">
        <v>154</v>
      </c>
      <c r="K49">
        <v>19</v>
      </c>
      <c r="L49">
        <v>126.67</v>
      </c>
      <c r="M49">
        <v>16</v>
      </c>
      <c r="N49">
        <v>8</v>
      </c>
      <c r="O49" t="s">
        <v>63</v>
      </c>
    </row>
    <row r="50" spans="1:15">
      <c r="A50" s="73">
        <v>43482</v>
      </c>
      <c r="B50" t="s">
        <v>20</v>
      </c>
      <c r="C50" s="74">
        <v>0.3125</v>
      </c>
      <c r="D50" s="74">
        <v>0.34722222222222227</v>
      </c>
      <c r="E50">
        <v>0.83299999999999996</v>
      </c>
      <c r="F50">
        <v>50</v>
      </c>
      <c r="G50" t="s">
        <v>60</v>
      </c>
      <c r="H50" t="s">
        <v>61</v>
      </c>
      <c r="I50" t="s">
        <v>11</v>
      </c>
      <c r="J50" t="s">
        <v>67</v>
      </c>
      <c r="K50">
        <v>10</v>
      </c>
      <c r="L50">
        <v>66.67</v>
      </c>
      <c r="M50">
        <v>10</v>
      </c>
      <c r="N50">
        <v>0</v>
      </c>
      <c r="O50" t="s">
        <v>63</v>
      </c>
    </row>
    <row r="51" spans="1:15">
      <c r="A51" s="73">
        <v>43482</v>
      </c>
      <c r="B51" t="s">
        <v>20</v>
      </c>
      <c r="C51" s="74">
        <v>0.35416666666666669</v>
      </c>
      <c r="D51" s="74">
        <v>0.3888888888888889</v>
      </c>
      <c r="E51">
        <v>0.83299999999999996</v>
      </c>
      <c r="F51">
        <v>50</v>
      </c>
      <c r="G51" t="s">
        <v>60</v>
      </c>
      <c r="H51" t="s">
        <v>145</v>
      </c>
      <c r="I51" t="s">
        <v>11</v>
      </c>
      <c r="J51" t="s">
        <v>66</v>
      </c>
      <c r="K51">
        <v>14</v>
      </c>
      <c r="L51">
        <v>116.67</v>
      </c>
      <c r="M51">
        <v>9</v>
      </c>
      <c r="N51">
        <v>2</v>
      </c>
      <c r="O51" t="s">
        <v>63</v>
      </c>
    </row>
    <row r="52" spans="1:15">
      <c r="A52" s="73">
        <v>43485</v>
      </c>
      <c r="B52" t="s">
        <v>21</v>
      </c>
      <c r="C52" s="74">
        <v>0.35416666666666669</v>
      </c>
      <c r="D52" s="74">
        <v>0.3888888888888889</v>
      </c>
      <c r="E52">
        <v>0.83299999999999996</v>
      </c>
      <c r="F52">
        <v>50</v>
      </c>
      <c r="G52" t="s">
        <v>60</v>
      </c>
      <c r="H52" t="s">
        <v>70</v>
      </c>
      <c r="I52" t="s">
        <v>11</v>
      </c>
      <c r="J52" t="s">
        <v>64</v>
      </c>
      <c r="K52">
        <v>12</v>
      </c>
      <c r="L52">
        <v>100</v>
      </c>
      <c r="M52">
        <v>10</v>
      </c>
      <c r="N52">
        <v>3</v>
      </c>
      <c r="O52" t="s">
        <v>63</v>
      </c>
    </row>
    <row r="53" spans="1:15">
      <c r="A53" s="73">
        <v>43485</v>
      </c>
      <c r="B53" t="s">
        <v>21</v>
      </c>
      <c r="C53" s="74">
        <v>0.79166666666666663</v>
      </c>
      <c r="D53" s="74">
        <v>0.82638888888888884</v>
      </c>
      <c r="E53">
        <v>0.83299999999999996</v>
      </c>
      <c r="F53">
        <v>50</v>
      </c>
      <c r="G53" t="s">
        <v>60</v>
      </c>
      <c r="H53" t="s">
        <v>14</v>
      </c>
      <c r="I53" t="s">
        <v>11</v>
      </c>
      <c r="J53" t="s">
        <v>154</v>
      </c>
      <c r="K53">
        <v>18</v>
      </c>
      <c r="L53">
        <v>120</v>
      </c>
      <c r="M53">
        <v>17</v>
      </c>
      <c r="N53">
        <v>5</v>
      </c>
      <c r="O53" t="s">
        <v>63</v>
      </c>
    </row>
    <row r="54" spans="1:15">
      <c r="A54" s="73">
        <v>43485</v>
      </c>
      <c r="B54" t="s">
        <v>21</v>
      </c>
      <c r="C54" s="74">
        <v>0.75</v>
      </c>
      <c r="D54" s="74">
        <v>0.78472222222222221</v>
      </c>
      <c r="E54">
        <v>0.83299999999999996</v>
      </c>
      <c r="F54">
        <v>50</v>
      </c>
      <c r="G54" t="s">
        <v>60</v>
      </c>
      <c r="H54" t="s">
        <v>61</v>
      </c>
      <c r="I54" t="s">
        <v>11</v>
      </c>
      <c r="J54" t="s">
        <v>76</v>
      </c>
      <c r="K54">
        <v>13</v>
      </c>
      <c r="L54">
        <v>108.33</v>
      </c>
      <c r="M54">
        <v>10</v>
      </c>
      <c r="N54">
        <v>4</v>
      </c>
      <c r="O54" t="s">
        <v>63</v>
      </c>
    </row>
    <row r="55" spans="1:15">
      <c r="A55" s="73">
        <v>43486</v>
      </c>
      <c r="B55" t="s">
        <v>22</v>
      </c>
      <c r="C55" s="74">
        <v>0.3125</v>
      </c>
      <c r="D55" s="74">
        <v>0.34722222222222227</v>
      </c>
      <c r="E55">
        <v>0.83299999999999996</v>
      </c>
      <c r="F55">
        <v>50</v>
      </c>
      <c r="G55" t="s">
        <v>60</v>
      </c>
      <c r="H55" t="s">
        <v>17</v>
      </c>
      <c r="I55" t="s">
        <v>11</v>
      </c>
      <c r="J55" t="s">
        <v>66</v>
      </c>
      <c r="K55">
        <v>13</v>
      </c>
      <c r="L55">
        <v>108.33</v>
      </c>
      <c r="M55">
        <v>12</v>
      </c>
      <c r="N55">
        <v>3</v>
      </c>
      <c r="O55" t="s">
        <v>63</v>
      </c>
    </row>
    <row r="56" spans="1:15">
      <c r="A56" s="73">
        <v>43486</v>
      </c>
      <c r="B56" t="s">
        <v>22</v>
      </c>
      <c r="C56" s="74">
        <v>0.75</v>
      </c>
      <c r="D56" s="74">
        <v>0.78472222222222221</v>
      </c>
      <c r="E56">
        <v>0.83299999999999996</v>
      </c>
      <c r="F56">
        <v>50</v>
      </c>
      <c r="G56" t="s">
        <v>60</v>
      </c>
      <c r="H56" t="s">
        <v>68</v>
      </c>
      <c r="I56" t="s">
        <v>11</v>
      </c>
      <c r="J56" t="s">
        <v>67</v>
      </c>
      <c r="K56">
        <v>15</v>
      </c>
      <c r="L56">
        <v>100</v>
      </c>
      <c r="M56">
        <v>12</v>
      </c>
      <c r="N56">
        <v>8</v>
      </c>
      <c r="O56" t="s">
        <v>63</v>
      </c>
    </row>
    <row r="57" spans="1:15">
      <c r="A57" s="73">
        <v>43486</v>
      </c>
      <c r="B57" t="s">
        <v>22</v>
      </c>
      <c r="C57" s="74">
        <v>0.70833333333333337</v>
      </c>
      <c r="D57" s="74">
        <v>0.74305555555555547</v>
      </c>
      <c r="E57">
        <v>0.83299999999999996</v>
      </c>
      <c r="F57">
        <v>50</v>
      </c>
      <c r="G57" t="s">
        <v>60</v>
      </c>
      <c r="H57" t="s">
        <v>70</v>
      </c>
      <c r="I57" t="s">
        <v>11</v>
      </c>
      <c r="J57" t="s">
        <v>64</v>
      </c>
      <c r="K57">
        <v>13</v>
      </c>
      <c r="L57">
        <v>108.33</v>
      </c>
      <c r="M57">
        <v>10</v>
      </c>
      <c r="N57">
        <v>9</v>
      </c>
      <c r="O57" t="s">
        <v>63</v>
      </c>
    </row>
    <row r="58" spans="1:15">
      <c r="A58" s="73">
        <v>43486</v>
      </c>
      <c r="B58" t="s">
        <v>22</v>
      </c>
      <c r="C58" s="74">
        <v>0.35416666666666669</v>
      </c>
      <c r="D58" s="74">
        <v>0.3888888888888889</v>
      </c>
      <c r="E58">
        <v>0.83299999999999996</v>
      </c>
      <c r="F58">
        <v>50</v>
      </c>
      <c r="G58" t="s">
        <v>60</v>
      </c>
      <c r="H58" t="s">
        <v>17</v>
      </c>
      <c r="I58" t="s">
        <v>11</v>
      </c>
      <c r="J58" t="s">
        <v>149</v>
      </c>
      <c r="K58">
        <v>14</v>
      </c>
      <c r="L58">
        <v>93.33</v>
      </c>
      <c r="M58">
        <v>14</v>
      </c>
      <c r="N58">
        <v>0</v>
      </c>
      <c r="O58" t="s">
        <v>63</v>
      </c>
    </row>
    <row r="59" spans="1:15">
      <c r="A59" s="73">
        <v>43487</v>
      </c>
      <c r="B59" t="s">
        <v>23</v>
      </c>
      <c r="C59" s="74">
        <v>0.3125</v>
      </c>
      <c r="D59" s="74">
        <v>0.34722222222222227</v>
      </c>
      <c r="E59">
        <v>0.83299999999999996</v>
      </c>
      <c r="F59">
        <v>50</v>
      </c>
      <c r="G59" t="s">
        <v>60</v>
      </c>
      <c r="H59" t="s">
        <v>13</v>
      </c>
      <c r="I59" t="s">
        <v>11</v>
      </c>
      <c r="J59" t="s">
        <v>67</v>
      </c>
      <c r="K59">
        <v>15</v>
      </c>
      <c r="L59">
        <v>100</v>
      </c>
      <c r="M59">
        <v>15</v>
      </c>
      <c r="N59">
        <v>0</v>
      </c>
      <c r="O59" t="s">
        <v>63</v>
      </c>
    </row>
    <row r="60" spans="1:15">
      <c r="A60" s="73">
        <v>43487</v>
      </c>
      <c r="B60" t="s">
        <v>23</v>
      </c>
      <c r="C60" s="74">
        <v>0.78125</v>
      </c>
      <c r="D60" s="74">
        <v>0.81597222222222221</v>
      </c>
      <c r="E60">
        <v>0.83299999999999996</v>
      </c>
      <c r="F60">
        <v>50</v>
      </c>
      <c r="G60" t="s">
        <v>60</v>
      </c>
      <c r="H60" t="s">
        <v>61</v>
      </c>
      <c r="I60" t="s">
        <v>11</v>
      </c>
      <c r="J60" t="s">
        <v>76</v>
      </c>
      <c r="K60">
        <v>13</v>
      </c>
      <c r="L60">
        <v>108.33</v>
      </c>
      <c r="M60">
        <v>11</v>
      </c>
      <c r="N60">
        <v>4</v>
      </c>
      <c r="O60" t="s">
        <v>63</v>
      </c>
    </row>
    <row r="61" spans="1:15">
      <c r="A61" s="73">
        <v>43487</v>
      </c>
      <c r="B61" t="s">
        <v>23</v>
      </c>
      <c r="C61" s="74">
        <v>0.35416666666666669</v>
      </c>
      <c r="D61" s="74">
        <v>0.3888888888888889</v>
      </c>
      <c r="E61">
        <v>0.83299999999999996</v>
      </c>
      <c r="F61">
        <v>50</v>
      </c>
      <c r="G61" t="s">
        <v>60</v>
      </c>
      <c r="H61" t="s">
        <v>70</v>
      </c>
      <c r="I61" t="s">
        <v>11</v>
      </c>
      <c r="J61" t="s">
        <v>151</v>
      </c>
      <c r="K61">
        <v>12</v>
      </c>
      <c r="L61">
        <v>100</v>
      </c>
      <c r="M61">
        <v>10</v>
      </c>
      <c r="N61">
        <v>4</v>
      </c>
      <c r="O61" t="s">
        <v>63</v>
      </c>
    </row>
    <row r="62" spans="1:15">
      <c r="A62" s="73">
        <v>43487</v>
      </c>
      <c r="B62" t="s">
        <v>23</v>
      </c>
      <c r="C62" s="74">
        <v>0.73958333333333337</v>
      </c>
      <c r="D62" s="74">
        <v>0.77430555555555547</v>
      </c>
      <c r="E62">
        <v>0.83299999999999996</v>
      </c>
      <c r="F62">
        <v>50</v>
      </c>
      <c r="G62" t="s">
        <v>60</v>
      </c>
      <c r="H62" t="s">
        <v>147</v>
      </c>
      <c r="I62" t="s">
        <v>11</v>
      </c>
      <c r="J62" t="s">
        <v>148</v>
      </c>
      <c r="K62">
        <v>11</v>
      </c>
      <c r="L62">
        <v>73.33</v>
      </c>
      <c r="M62">
        <v>9</v>
      </c>
      <c r="N62">
        <v>0</v>
      </c>
      <c r="O62" t="s">
        <v>63</v>
      </c>
    </row>
    <row r="63" spans="1:15">
      <c r="A63" s="73">
        <v>43488</v>
      </c>
      <c r="B63" t="s">
        <v>24</v>
      </c>
      <c r="C63" s="74">
        <v>0.77083333333333337</v>
      </c>
      <c r="D63" s="74">
        <v>0.80555555555555547</v>
      </c>
      <c r="E63">
        <v>0.83299999999999996</v>
      </c>
      <c r="F63">
        <v>50</v>
      </c>
      <c r="G63" t="s">
        <v>60</v>
      </c>
      <c r="H63" t="s">
        <v>17</v>
      </c>
      <c r="I63" t="s">
        <v>11</v>
      </c>
      <c r="J63" t="s">
        <v>149</v>
      </c>
      <c r="K63">
        <v>15</v>
      </c>
      <c r="L63">
        <v>100</v>
      </c>
      <c r="M63">
        <v>12</v>
      </c>
      <c r="N63">
        <v>3</v>
      </c>
      <c r="O63" t="s">
        <v>63</v>
      </c>
    </row>
    <row r="64" spans="1:15">
      <c r="A64" s="73">
        <v>43488</v>
      </c>
      <c r="B64" t="s">
        <v>24</v>
      </c>
      <c r="C64" s="74">
        <v>0.72916666666666663</v>
      </c>
      <c r="D64" s="74">
        <v>0.76388888888888884</v>
      </c>
      <c r="E64">
        <v>0.83299999999999996</v>
      </c>
      <c r="F64">
        <v>50</v>
      </c>
      <c r="G64" t="s">
        <v>60</v>
      </c>
      <c r="H64" t="s">
        <v>17</v>
      </c>
      <c r="I64" t="s">
        <v>11</v>
      </c>
      <c r="J64" t="s">
        <v>66</v>
      </c>
      <c r="K64">
        <v>12</v>
      </c>
      <c r="L64">
        <v>100</v>
      </c>
      <c r="M64">
        <v>11</v>
      </c>
      <c r="N64">
        <v>9</v>
      </c>
      <c r="O64" t="s">
        <v>63</v>
      </c>
    </row>
    <row r="65" spans="1:15">
      <c r="A65" s="73">
        <v>43488</v>
      </c>
      <c r="B65" t="s">
        <v>24</v>
      </c>
      <c r="C65" s="74">
        <v>0.35416666666666669</v>
      </c>
      <c r="D65" s="74">
        <v>0.3888888888888889</v>
      </c>
      <c r="E65">
        <v>0.83299999999999996</v>
      </c>
      <c r="F65">
        <v>50</v>
      </c>
      <c r="G65" t="s">
        <v>60</v>
      </c>
      <c r="H65" t="s">
        <v>13</v>
      </c>
      <c r="I65" t="s">
        <v>11</v>
      </c>
      <c r="J65" t="s">
        <v>62</v>
      </c>
      <c r="K65">
        <v>11</v>
      </c>
      <c r="L65">
        <v>78.569999999999993</v>
      </c>
      <c r="M65">
        <v>8</v>
      </c>
      <c r="N65">
        <v>0</v>
      </c>
      <c r="O65" t="s">
        <v>63</v>
      </c>
    </row>
    <row r="66" spans="1:15">
      <c r="A66" s="73">
        <v>43489</v>
      </c>
      <c r="B66" t="s">
        <v>20</v>
      </c>
      <c r="C66" s="74">
        <v>0.72916666666666663</v>
      </c>
      <c r="D66" s="74">
        <v>0.76388888888888884</v>
      </c>
      <c r="E66">
        <v>0.83299999999999996</v>
      </c>
      <c r="F66">
        <v>50</v>
      </c>
      <c r="G66" t="s">
        <v>60</v>
      </c>
      <c r="H66" t="s">
        <v>70</v>
      </c>
      <c r="I66" t="s">
        <v>11</v>
      </c>
      <c r="J66" t="s">
        <v>151</v>
      </c>
      <c r="K66">
        <v>12</v>
      </c>
      <c r="L66">
        <v>100</v>
      </c>
      <c r="M66">
        <v>8</v>
      </c>
      <c r="N66">
        <v>4</v>
      </c>
      <c r="O66" t="s">
        <v>63</v>
      </c>
    </row>
    <row r="67" spans="1:15">
      <c r="A67" s="73">
        <v>43489</v>
      </c>
      <c r="B67" t="s">
        <v>20</v>
      </c>
      <c r="C67" s="74">
        <v>0.77083333333333337</v>
      </c>
      <c r="D67" s="74">
        <v>0.80555555555555547</v>
      </c>
      <c r="E67">
        <v>0.83299999999999996</v>
      </c>
      <c r="F67">
        <v>50</v>
      </c>
      <c r="G67" t="s">
        <v>60</v>
      </c>
      <c r="H67" t="s">
        <v>14</v>
      </c>
      <c r="I67" t="s">
        <v>11</v>
      </c>
      <c r="J67" t="s">
        <v>154</v>
      </c>
      <c r="K67">
        <v>18</v>
      </c>
      <c r="L67">
        <v>120</v>
      </c>
      <c r="M67">
        <v>13</v>
      </c>
      <c r="N67">
        <v>9</v>
      </c>
      <c r="O67" t="s">
        <v>63</v>
      </c>
    </row>
    <row r="68" spans="1:15">
      <c r="A68" s="73">
        <v>43489</v>
      </c>
      <c r="B68" t="s">
        <v>20</v>
      </c>
      <c r="C68" s="74">
        <v>0.3125</v>
      </c>
      <c r="D68" s="74">
        <v>0.34722222222222227</v>
      </c>
      <c r="E68">
        <v>0.83299999999999996</v>
      </c>
      <c r="F68">
        <v>50</v>
      </c>
      <c r="G68" t="s">
        <v>60</v>
      </c>
      <c r="H68" t="s">
        <v>61</v>
      </c>
      <c r="I68" t="s">
        <v>11</v>
      </c>
      <c r="J68" t="s">
        <v>67</v>
      </c>
      <c r="K68">
        <v>14</v>
      </c>
      <c r="L68">
        <v>93.33</v>
      </c>
      <c r="M68">
        <v>13</v>
      </c>
      <c r="N68">
        <v>0</v>
      </c>
      <c r="O68" t="s">
        <v>63</v>
      </c>
    </row>
    <row r="69" spans="1:15">
      <c r="A69" s="73">
        <v>43489</v>
      </c>
      <c r="B69" t="s">
        <v>20</v>
      </c>
      <c r="C69" s="74">
        <v>0.35416666666666669</v>
      </c>
      <c r="D69" s="74">
        <v>0.3888888888888889</v>
      </c>
      <c r="E69">
        <v>0.83299999999999996</v>
      </c>
      <c r="F69">
        <v>50</v>
      </c>
      <c r="G69" t="s">
        <v>60</v>
      </c>
      <c r="H69" t="s">
        <v>145</v>
      </c>
      <c r="I69" t="s">
        <v>11</v>
      </c>
      <c r="J69" t="s">
        <v>66</v>
      </c>
      <c r="K69">
        <v>11</v>
      </c>
      <c r="L69">
        <v>91.67</v>
      </c>
      <c r="M69">
        <v>10</v>
      </c>
      <c r="N69">
        <v>0</v>
      </c>
      <c r="O69" t="s">
        <v>63</v>
      </c>
    </row>
    <row r="70" spans="1:15">
      <c r="A70" s="73">
        <v>43492</v>
      </c>
      <c r="B70" t="s">
        <v>21</v>
      </c>
      <c r="C70" s="74">
        <v>0.35416666666666669</v>
      </c>
      <c r="D70" s="74">
        <v>0.3888888888888889</v>
      </c>
      <c r="E70">
        <v>0.83299999999999996</v>
      </c>
      <c r="F70">
        <v>50</v>
      </c>
      <c r="G70" t="s">
        <v>60</v>
      </c>
      <c r="H70" t="s">
        <v>70</v>
      </c>
      <c r="I70" t="s">
        <v>11</v>
      </c>
      <c r="J70" t="s">
        <v>64</v>
      </c>
      <c r="K70">
        <v>12</v>
      </c>
      <c r="L70">
        <v>100</v>
      </c>
      <c r="M70">
        <v>10</v>
      </c>
      <c r="N70">
        <v>10</v>
      </c>
      <c r="O70" t="s">
        <v>63</v>
      </c>
    </row>
    <row r="71" spans="1:15">
      <c r="A71" s="73">
        <v>43492</v>
      </c>
      <c r="B71" t="s">
        <v>21</v>
      </c>
      <c r="C71" s="74">
        <v>0.79166666666666663</v>
      </c>
      <c r="D71" s="74">
        <v>0.82638888888888884</v>
      </c>
      <c r="E71">
        <v>0.83299999999999996</v>
      </c>
      <c r="F71">
        <v>50</v>
      </c>
      <c r="G71" t="s">
        <v>60</v>
      </c>
      <c r="H71" t="s">
        <v>13</v>
      </c>
      <c r="I71" t="s">
        <v>11</v>
      </c>
      <c r="J71" t="s">
        <v>67</v>
      </c>
      <c r="K71">
        <v>16</v>
      </c>
      <c r="L71">
        <v>106.67</v>
      </c>
      <c r="M71">
        <v>11</v>
      </c>
      <c r="N71">
        <v>10</v>
      </c>
      <c r="O71" t="s">
        <v>63</v>
      </c>
    </row>
    <row r="72" spans="1:15">
      <c r="A72" s="73">
        <v>43492</v>
      </c>
      <c r="B72" t="s">
        <v>21</v>
      </c>
      <c r="C72" s="74">
        <v>0.75</v>
      </c>
      <c r="D72" s="74">
        <v>0.78472222222222221</v>
      </c>
      <c r="E72">
        <v>0.83299999999999996</v>
      </c>
      <c r="F72">
        <v>50</v>
      </c>
      <c r="G72" t="s">
        <v>60</v>
      </c>
      <c r="H72" t="s">
        <v>61</v>
      </c>
      <c r="I72" t="s">
        <v>11</v>
      </c>
      <c r="J72" t="s">
        <v>76</v>
      </c>
      <c r="K72">
        <v>12</v>
      </c>
      <c r="L72">
        <v>100</v>
      </c>
      <c r="M72">
        <v>8</v>
      </c>
      <c r="N72">
        <v>0</v>
      </c>
      <c r="O72" t="s">
        <v>63</v>
      </c>
    </row>
    <row r="73" spans="1:15">
      <c r="A73" s="73">
        <v>43492</v>
      </c>
      <c r="B73" t="s">
        <v>21</v>
      </c>
      <c r="C73" s="74">
        <v>0.70833333333333337</v>
      </c>
      <c r="D73" s="74">
        <v>0.74305555555555547</v>
      </c>
      <c r="E73">
        <v>0.83299999999999996</v>
      </c>
      <c r="F73">
        <v>50</v>
      </c>
      <c r="G73" t="s">
        <v>60</v>
      </c>
      <c r="H73" t="s">
        <v>13</v>
      </c>
      <c r="I73" t="s">
        <v>11</v>
      </c>
      <c r="J73" t="s">
        <v>62</v>
      </c>
      <c r="K73">
        <v>15</v>
      </c>
      <c r="L73">
        <v>107.14</v>
      </c>
      <c r="M73">
        <v>9</v>
      </c>
      <c r="N73">
        <v>1</v>
      </c>
      <c r="O73" t="s">
        <v>63</v>
      </c>
    </row>
    <row r="74" spans="1:15">
      <c r="A74" s="73">
        <v>43493</v>
      </c>
      <c r="B74" t="s">
        <v>22</v>
      </c>
      <c r="C74" s="74">
        <v>0.3125</v>
      </c>
      <c r="D74" s="74">
        <v>0.34722222222222227</v>
      </c>
      <c r="E74">
        <v>0.83299999999999996</v>
      </c>
      <c r="F74">
        <v>50</v>
      </c>
      <c r="G74" t="s">
        <v>60</v>
      </c>
      <c r="H74" t="s">
        <v>17</v>
      </c>
      <c r="I74" t="s">
        <v>11</v>
      </c>
      <c r="J74" t="s">
        <v>66</v>
      </c>
      <c r="K74">
        <v>14</v>
      </c>
      <c r="L74">
        <v>116.67</v>
      </c>
      <c r="M74">
        <v>13</v>
      </c>
      <c r="N74">
        <v>3</v>
      </c>
      <c r="O74" t="s">
        <v>63</v>
      </c>
    </row>
    <row r="75" spans="1:15">
      <c r="A75" s="73">
        <v>43493</v>
      </c>
      <c r="B75" t="s">
        <v>22</v>
      </c>
      <c r="C75" s="74">
        <v>0.75694444444444453</v>
      </c>
      <c r="D75" s="74">
        <v>0.79166666666666663</v>
      </c>
      <c r="E75">
        <v>0.83299999999999996</v>
      </c>
      <c r="F75">
        <v>50</v>
      </c>
      <c r="G75" t="s">
        <v>60</v>
      </c>
      <c r="H75" t="s">
        <v>68</v>
      </c>
      <c r="I75" t="s">
        <v>11</v>
      </c>
      <c r="J75" t="s">
        <v>67</v>
      </c>
      <c r="K75">
        <v>15</v>
      </c>
      <c r="L75">
        <v>100</v>
      </c>
      <c r="M75">
        <v>11</v>
      </c>
      <c r="N75">
        <v>4</v>
      </c>
      <c r="O75" t="s">
        <v>63</v>
      </c>
    </row>
    <row r="76" spans="1:15">
      <c r="A76" s="73">
        <v>43493</v>
      </c>
      <c r="B76" t="s">
        <v>22</v>
      </c>
      <c r="C76" s="74">
        <v>0.70833333333333337</v>
      </c>
      <c r="D76" s="74">
        <v>0.74305555555555547</v>
      </c>
      <c r="E76">
        <v>0.83299999999999996</v>
      </c>
      <c r="F76">
        <v>50</v>
      </c>
      <c r="G76" t="s">
        <v>60</v>
      </c>
      <c r="H76" t="s">
        <v>70</v>
      </c>
      <c r="I76" t="s">
        <v>11</v>
      </c>
      <c r="J76" t="s">
        <v>64</v>
      </c>
      <c r="K76">
        <v>12</v>
      </c>
      <c r="L76">
        <v>100</v>
      </c>
      <c r="M76">
        <v>12</v>
      </c>
      <c r="N76">
        <v>5</v>
      </c>
      <c r="O76" t="s">
        <v>63</v>
      </c>
    </row>
    <row r="77" spans="1:15">
      <c r="A77" s="73">
        <v>43493</v>
      </c>
      <c r="B77" t="s">
        <v>22</v>
      </c>
      <c r="C77" s="74">
        <v>0.35416666666666669</v>
      </c>
      <c r="D77" s="74">
        <v>0.3888888888888889</v>
      </c>
      <c r="E77">
        <v>0.83299999999999996</v>
      </c>
      <c r="F77">
        <v>50</v>
      </c>
      <c r="G77" t="s">
        <v>60</v>
      </c>
      <c r="H77" t="s">
        <v>17</v>
      </c>
      <c r="I77" t="s">
        <v>11</v>
      </c>
      <c r="J77" t="s">
        <v>149</v>
      </c>
      <c r="K77">
        <v>15</v>
      </c>
      <c r="L77">
        <v>100</v>
      </c>
      <c r="M77">
        <v>12</v>
      </c>
      <c r="N77">
        <v>0</v>
      </c>
      <c r="O77" t="s">
        <v>63</v>
      </c>
    </row>
    <row r="78" spans="1:15">
      <c r="A78" s="73">
        <v>43494</v>
      </c>
      <c r="B78" t="s">
        <v>23</v>
      </c>
      <c r="C78" s="74">
        <v>0.3125</v>
      </c>
      <c r="D78" s="74">
        <v>0.34722222222222227</v>
      </c>
      <c r="E78">
        <v>0.83299999999999996</v>
      </c>
      <c r="F78">
        <v>50</v>
      </c>
      <c r="G78" t="s">
        <v>60</v>
      </c>
      <c r="H78" t="s">
        <v>13</v>
      </c>
      <c r="I78" t="s">
        <v>11</v>
      </c>
      <c r="J78" t="s">
        <v>67</v>
      </c>
      <c r="K78">
        <v>12</v>
      </c>
      <c r="L78">
        <v>80</v>
      </c>
      <c r="M78">
        <v>11</v>
      </c>
      <c r="N78">
        <v>0</v>
      </c>
      <c r="O78" t="s">
        <v>63</v>
      </c>
    </row>
    <row r="79" spans="1:15">
      <c r="A79" s="73">
        <v>43494</v>
      </c>
      <c r="B79" t="s">
        <v>23</v>
      </c>
      <c r="C79" s="74">
        <v>0.78125</v>
      </c>
      <c r="D79" s="74">
        <v>0.81597222222222221</v>
      </c>
      <c r="E79">
        <v>0.83299999999999996</v>
      </c>
      <c r="F79">
        <v>50</v>
      </c>
      <c r="G79" t="s">
        <v>60</v>
      </c>
      <c r="H79" t="s">
        <v>61</v>
      </c>
      <c r="I79" t="s">
        <v>11</v>
      </c>
      <c r="J79" t="s">
        <v>76</v>
      </c>
      <c r="K79">
        <v>13</v>
      </c>
      <c r="L79">
        <v>108.33</v>
      </c>
      <c r="M79">
        <v>11</v>
      </c>
      <c r="N79">
        <v>5</v>
      </c>
      <c r="O79" t="s">
        <v>63</v>
      </c>
    </row>
    <row r="80" spans="1:15">
      <c r="A80" s="73">
        <v>43494</v>
      </c>
      <c r="B80" t="s">
        <v>23</v>
      </c>
      <c r="C80" s="74">
        <v>0.35416666666666669</v>
      </c>
      <c r="D80" s="74">
        <v>0.3888888888888889</v>
      </c>
      <c r="E80">
        <v>0.83299999999999996</v>
      </c>
      <c r="F80">
        <v>50</v>
      </c>
      <c r="G80" t="s">
        <v>60</v>
      </c>
      <c r="H80" t="s">
        <v>70</v>
      </c>
      <c r="I80" t="s">
        <v>11</v>
      </c>
      <c r="J80" t="s">
        <v>151</v>
      </c>
      <c r="K80">
        <v>12</v>
      </c>
      <c r="L80">
        <v>100</v>
      </c>
      <c r="M80">
        <v>9</v>
      </c>
      <c r="N80">
        <v>0</v>
      </c>
      <c r="O80" t="s">
        <v>63</v>
      </c>
    </row>
    <row r="81" spans="1:15">
      <c r="A81" s="73">
        <v>43494</v>
      </c>
      <c r="B81" t="s">
        <v>23</v>
      </c>
      <c r="C81" s="74">
        <v>0.73958333333333337</v>
      </c>
      <c r="D81" s="74">
        <v>0.77430555555555547</v>
      </c>
      <c r="E81">
        <v>0.83299999999999996</v>
      </c>
      <c r="F81">
        <v>50</v>
      </c>
      <c r="G81" t="s">
        <v>60</v>
      </c>
      <c r="H81" t="s">
        <v>147</v>
      </c>
      <c r="I81" t="s">
        <v>11</v>
      </c>
      <c r="J81" t="s">
        <v>148</v>
      </c>
      <c r="K81">
        <v>15</v>
      </c>
      <c r="L81">
        <v>100</v>
      </c>
      <c r="M81">
        <v>14</v>
      </c>
      <c r="N81">
        <v>1</v>
      </c>
      <c r="O81" t="s">
        <v>63</v>
      </c>
    </row>
    <row r="82" spans="1:15">
      <c r="A82" s="73">
        <v>43495</v>
      </c>
      <c r="B82" t="s">
        <v>24</v>
      </c>
      <c r="C82" s="74">
        <v>0.77083333333333337</v>
      </c>
      <c r="D82" s="74">
        <v>0.80555555555555547</v>
      </c>
      <c r="E82">
        <v>0.83299999999999996</v>
      </c>
      <c r="F82">
        <v>50</v>
      </c>
      <c r="G82" t="s">
        <v>60</v>
      </c>
      <c r="H82" t="s">
        <v>17</v>
      </c>
      <c r="I82" t="s">
        <v>11</v>
      </c>
      <c r="J82" t="s">
        <v>149</v>
      </c>
      <c r="K82">
        <v>16</v>
      </c>
      <c r="L82">
        <v>106.67</v>
      </c>
      <c r="M82">
        <v>15</v>
      </c>
      <c r="N82">
        <v>7</v>
      </c>
      <c r="O82" t="s">
        <v>63</v>
      </c>
    </row>
    <row r="83" spans="1:15">
      <c r="A83" s="73">
        <v>43495</v>
      </c>
      <c r="B83" t="s">
        <v>24</v>
      </c>
      <c r="C83" s="74">
        <v>0.72916666666666663</v>
      </c>
      <c r="D83" s="74">
        <v>0.76388888888888884</v>
      </c>
      <c r="E83">
        <v>0.83299999999999996</v>
      </c>
      <c r="F83">
        <v>50</v>
      </c>
      <c r="G83" t="s">
        <v>60</v>
      </c>
      <c r="H83" t="s">
        <v>17</v>
      </c>
      <c r="I83" t="s">
        <v>11</v>
      </c>
      <c r="J83" t="s">
        <v>66</v>
      </c>
      <c r="K83">
        <v>14</v>
      </c>
      <c r="L83">
        <v>116.67</v>
      </c>
      <c r="M83">
        <v>13</v>
      </c>
      <c r="N83">
        <v>8</v>
      </c>
      <c r="O83" t="s">
        <v>63</v>
      </c>
    </row>
    <row r="84" spans="1:15">
      <c r="A84" s="73">
        <v>43495</v>
      </c>
      <c r="B84" t="s">
        <v>24</v>
      </c>
      <c r="C84" s="74">
        <v>0.35416666666666669</v>
      </c>
      <c r="D84" s="74">
        <v>0.3888888888888889</v>
      </c>
      <c r="E84">
        <v>0.83299999999999996</v>
      </c>
      <c r="F84">
        <v>50</v>
      </c>
      <c r="G84" t="s">
        <v>60</v>
      </c>
      <c r="H84" t="s">
        <v>16</v>
      </c>
      <c r="I84" t="s">
        <v>11</v>
      </c>
      <c r="J84" t="s">
        <v>62</v>
      </c>
      <c r="K84">
        <v>11</v>
      </c>
      <c r="L84">
        <v>78.569999999999993</v>
      </c>
      <c r="M84">
        <v>9</v>
      </c>
      <c r="N84">
        <v>0</v>
      </c>
      <c r="O84" t="s">
        <v>63</v>
      </c>
    </row>
    <row r="85" spans="1:15">
      <c r="A85" s="73">
        <v>43495</v>
      </c>
      <c r="B85" t="s">
        <v>24</v>
      </c>
      <c r="C85" s="74">
        <v>0.3125</v>
      </c>
      <c r="D85" s="74">
        <v>0.34722222222222227</v>
      </c>
      <c r="E85">
        <v>0.83299999999999996</v>
      </c>
      <c r="F85">
        <v>50</v>
      </c>
      <c r="G85" t="s">
        <v>60</v>
      </c>
      <c r="H85" t="s">
        <v>70</v>
      </c>
      <c r="I85" t="s">
        <v>11</v>
      </c>
      <c r="J85" t="s">
        <v>64</v>
      </c>
      <c r="K85">
        <v>9</v>
      </c>
      <c r="L85">
        <v>75</v>
      </c>
      <c r="M85">
        <v>9</v>
      </c>
      <c r="N85">
        <v>0</v>
      </c>
      <c r="O85" t="s">
        <v>63</v>
      </c>
    </row>
    <row r="86" spans="1:15">
      <c r="A86" s="73">
        <v>43496</v>
      </c>
      <c r="B86" t="s">
        <v>20</v>
      </c>
      <c r="C86" s="74">
        <v>0.72916666666666663</v>
      </c>
      <c r="D86" s="74">
        <v>0.76388888888888884</v>
      </c>
      <c r="E86">
        <v>0.83299999999999996</v>
      </c>
      <c r="F86">
        <v>50</v>
      </c>
      <c r="G86" t="s">
        <v>60</v>
      </c>
      <c r="H86" t="s">
        <v>70</v>
      </c>
      <c r="I86" t="s">
        <v>11</v>
      </c>
      <c r="J86" t="s">
        <v>151</v>
      </c>
      <c r="K86">
        <v>12</v>
      </c>
      <c r="L86">
        <v>100</v>
      </c>
      <c r="M86">
        <v>11</v>
      </c>
      <c r="N86">
        <v>10</v>
      </c>
      <c r="O86" t="s">
        <v>63</v>
      </c>
    </row>
    <row r="87" spans="1:15">
      <c r="A87" s="73">
        <v>43496</v>
      </c>
      <c r="B87" t="s">
        <v>20</v>
      </c>
      <c r="C87" s="74">
        <v>0.77083333333333337</v>
      </c>
      <c r="D87" s="74">
        <v>0.80555555555555547</v>
      </c>
      <c r="E87">
        <v>0.83299999999999996</v>
      </c>
      <c r="F87">
        <v>50</v>
      </c>
      <c r="G87" t="s">
        <v>60</v>
      </c>
      <c r="H87" t="s">
        <v>14</v>
      </c>
      <c r="I87" t="s">
        <v>11</v>
      </c>
      <c r="J87" t="s">
        <v>154</v>
      </c>
      <c r="K87">
        <v>17</v>
      </c>
      <c r="L87">
        <v>113.33</v>
      </c>
      <c r="M87">
        <v>15</v>
      </c>
      <c r="N87">
        <v>16</v>
      </c>
      <c r="O87" t="s">
        <v>63</v>
      </c>
    </row>
    <row r="88" spans="1:15">
      <c r="A88" s="73">
        <v>43496</v>
      </c>
      <c r="B88" t="s">
        <v>20</v>
      </c>
      <c r="C88" s="74">
        <v>0.3125</v>
      </c>
      <c r="D88" s="74">
        <v>0.34722222222222227</v>
      </c>
      <c r="E88">
        <v>0.83299999999999996</v>
      </c>
      <c r="F88">
        <v>50</v>
      </c>
      <c r="G88" t="s">
        <v>60</v>
      </c>
      <c r="H88" t="s">
        <v>61</v>
      </c>
      <c r="I88" t="s">
        <v>11</v>
      </c>
      <c r="J88" t="s">
        <v>67</v>
      </c>
      <c r="K88">
        <v>11</v>
      </c>
      <c r="L88">
        <v>73.33</v>
      </c>
      <c r="M88">
        <v>10</v>
      </c>
      <c r="N88">
        <v>0</v>
      </c>
      <c r="O88" t="s">
        <v>63</v>
      </c>
    </row>
    <row r="89" spans="1:15">
      <c r="A89" s="73">
        <v>43496</v>
      </c>
      <c r="B89" t="s">
        <v>20</v>
      </c>
      <c r="C89" s="74">
        <v>0.35416666666666669</v>
      </c>
      <c r="D89" s="74">
        <v>0.3888888888888889</v>
      </c>
      <c r="E89">
        <v>0.83299999999999996</v>
      </c>
      <c r="F89">
        <v>50</v>
      </c>
      <c r="G89" t="s">
        <v>60</v>
      </c>
      <c r="H89" t="s">
        <v>145</v>
      </c>
      <c r="I89" t="s">
        <v>11</v>
      </c>
      <c r="J89" t="s">
        <v>66</v>
      </c>
      <c r="K89">
        <v>11</v>
      </c>
      <c r="L89">
        <v>91.67</v>
      </c>
      <c r="M89">
        <v>10</v>
      </c>
      <c r="N89">
        <v>1</v>
      </c>
      <c r="O89" t="s">
        <v>63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794"/>
  <sheetViews>
    <sheetView rightToLeft="1" topLeftCell="A705" workbookViewId="0">
      <selection activeCell="E5" sqref="E5"/>
    </sheetView>
  </sheetViews>
  <sheetFormatPr baseColWidth="10" defaultColWidth="8.83203125" defaultRowHeight="15"/>
  <cols>
    <col min="1" max="1" width="17.83203125" customWidth="1"/>
    <col min="2" max="2" width="18" bestFit="1" customWidth="1"/>
  </cols>
  <sheetData>
    <row r="1" spans="1:3" ht="16">
      <c r="A1" s="77" t="s">
        <v>47</v>
      </c>
      <c r="B1" s="77" t="s">
        <v>81</v>
      </c>
      <c r="C1" s="77" t="s">
        <v>82</v>
      </c>
    </row>
    <row r="2" spans="1:3">
      <c r="A2" s="78">
        <v>39721</v>
      </c>
      <c r="B2" s="79" t="s">
        <v>83</v>
      </c>
      <c r="C2" s="80" t="s">
        <v>84</v>
      </c>
    </row>
    <row r="3" spans="1:3">
      <c r="A3" s="78">
        <v>39722</v>
      </c>
      <c r="B3" s="79" t="s">
        <v>85</v>
      </c>
      <c r="C3" s="80" t="s">
        <v>84</v>
      </c>
    </row>
    <row r="4" spans="1:3">
      <c r="A4" s="78">
        <v>39723</v>
      </c>
      <c r="B4" s="79" t="s">
        <v>86</v>
      </c>
      <c r="C4" s="80" t="s">
        <v>84</v>
      </c>
    </row>
    <row r="5" spans="1:3">
      <c r="A5" s="78">
        <v>39729</v>
      </c>
      <c r="B5" s="79" t="s">
        <v>87</v>
      </c>
      <c r="C5" s="80" t="s">
        <v>84</v>
      </c>
    </row>
    <row r="6" spans="1:3">
      <c r="A6" s="78">
        <v>39730</v>
      </c>
      <c r="B6" s="79" t="s">
        <v>88</v>
      </c>
      <c r="C6" s="80" t="s">
        <v>84</v>
      </c>
    </row>
    <row r="7" spans="1:3">
      <c r="A7" s="78">
        <v>39734</v>
      </c>
      <c r="B7" s="79" t="s">
        <v>89</v>
      </c>
      <c r="C7" s="80" t="s">
        <v>84</v>
      </c>
    </row>
    <row r="8" spans="1:3">
      <c r="A8" s="78">
        <v>39735</v>
      </c>
      <c r="B8" s="79" t="s">
        <v>90</v>
      </c>
      <c r="C8" s="80" t="s">
        <v>84</v>
      </c>
    </row>
    <row r="9" spans="1:3">
      <c r="A9" s="78">
        <v>39736</v>
      </c>
      <c r="B9" s="79" t="s">
        <v>91</v>
      </c>
      <c r="C9" s="80" t="s">
        <v>84</v>
      </c>
    </row>
    <row r="10" spans="1:3">
      <c r="A10" s="78">
        <v>39737</v>
      </c>
      <c r="B10" s="79" t="s">
        <v>92</v>
      </c>
      <c r="C10" s="80" t="s">
        <v>84</v>
      </c>
    </row>
    <row r="11" spans="1:3">
      <c r="A11" s="78">
        <v>39738</v>
      </c>
      <c r="B11" s="79" t="s">
        <v>93</v>
      </c>
      <c r="C11" s="80" t="s">
        <v>84</v>
      </c>
    </row>
    <row r="12" spans="1:3">
      <c r="A12" s="78">
        <v>39739</v>
      </c>
      <c r="B12" s="79" t="s">
        <v>94</v>
      </c>
      <c r="C12" s="80" t="s">
        <v>84</v>
      </c>
    </row>
    <row r="13" spans="1:3">
      <c r="A13" s="78">
        <v>39740</v>
      </c>
      <c r="B13" s="79" t="s">
        <v>95</v>
      </c>
      <c r="C13" s="80" t="s">
        <v>84</v>
      </c>
    </row>
    <row r="14" spans="1:3">
      <c r="A14" s="78">
        <v>39741</v>
      </c>
      <c r="B14" s="79" t="s">
        <v>96</v>
      </c>
      <c r="C14" s="80" t="s">
        <v>84</v>
      </c>
    </row>
    <row r="15" spans="1:3">
      <c r="A15" s="78">
        <v>39742</v>
      </c>
      <c r="B15" s="79" t="s">
        <v>97</v>
      </c>
      <c r="C15" s="80" t="s">
        <v>84</v>
      </c>
    </row>
    <row r="16" spans="1:3">
      <c r="A16" s="78">
        <v>39743</v>
      </c>
      <c r="B16" s="79" t="s">
        <v>98</v>
      </c>
      <c r="C16" s="80" t="s">
        <v>84</v>
      </c>
    </row>
    <row r="17" spans="1:3">
      <c r="A17" s="78">
        <v>39762</v>
      </c>
      <c r="B17" s="79" t="s">
        <v>99</v>
      </c>
      <c r="C17" s="80" t="s">
        <v>100</v>
      </c>
    </row>
    <row r="18" spans="1:3">
      <c r="A18" s="78">
        <v>39804</v>
      </c>
      <c r="B18" s="79" t="s">
        <v>101</v>
      </c>
      <c r="C18" s="80" t="s">
        <v>84</v>
      </c>
    </row>
    <row r="19" spans="1:3">
      <c r="A19" s="78">
        <v>39805</v>
      </c>
      <c r="B19" s="79" t="s">
        <v>102</v>
      </c>
      <c r="C19" s="80" t="s">
        <v>84</v>
      </c>
    </row>
    <row r="20" spans="1:3">
      <c r="A20" s="78">
        <v>39806</v>
      </c>
      <c r="B20" s="79" t="s">
        <v>103</v>
      </c>
      <c r="C20" s="80" t="s">
        <v>84</v>
      </c>
    </row>
    <row r="21" spans="1:3">
      <c r="A21" s="78">
        <v>39807</v>
      </c>
      <c r="B21" s="79" t="s">
        <v>104</v>
      </c>
      <c r="C21" s="80" t="s">
        <v>84</v>
      </c>
    </row>
    <row r="22" spans="1:3">
      <c r="A22" s="78">
        <v>39808</v>
      </c>
      <c r="B22" s="79" t="s">
        <v>105</v>
      </c>
      <c r="C22" s="80" t="s">
        <v>84</v>
      </c>
    </row>
    <row r="23" spans="1:3">
      <c r="A23" s="78">
        <v>39809</v>
      </c>
      <c r="B23" s="79" t="s">
        <v>106</v>
      </c>
      <c r="C23" s="80" t="s">
        <v>84</v>
      </c>
    </row>
    <row r="24" spans="1:3">
      <c r="A24" s="78">
        <v>39810</v>
      </c>
      <c r="B24" s="79" t="s">
        <v>107</v>
      </c>
      <c r="C24" s="80" t="s">
        <v>84</v>
      </c>
    </row>
    <row r="25" spans="1:3">
      <c r="A25" s="78">
        <v>39811</v>
      </c>
      <c r="B25" s="79" t="s">
        <v>108</v>
      </c>
      <c r="C25" s="80" t="s">
        <v>84</v>
      </c>
    </row>
    <row r="26" spans="1:3">
      <c r="A26" s="78">
        <v>39819</v>
      </c>
      <c r="B26" s="79" t="s">
        <v>109</v>
      </c>
      <c r="C26" s="80" t="s">
        <v>84</v>
      </c>
    </row>
    <row r="27" spans="1:3">
      <c r="A27" s="78">
        <v>39840</v>
      </c>
      <c r="B27" s="79" t="s">
        <v>110</v>
      </c>
      <c r="C27" s="80" t="s">
        <v>111</v>
      </c>
    </row>
    <row r="28" spans="1:3">
      <c r="A28" s="78">
        <v>39853</v>
      </c>
      <c r="B28" s="79" t="s">
        <v>112</v>
      </c>
      <c r="C28" s="80" t="s">
        <v>84</v>
      </c>
    </row>
    <row r="29" spans="1:3">
      <c r="A29" s="78">
        <v>39881</v>
      </c>
      <c r="B29" s="79" t="s">
        <v>113</v>
      </c>
      <c r="C29" s="80" t="s">
        <v>84</v>
      </c>
    </row>
    <row r="30" spans="1:3">
      <c r="A30" s="78">
        <v>39882</v>
      </c>
      <c r="B30" s="79" t="s">
        <v>114</v>
      </c>
      <c r="C30" s="80" t="s">
        <v>84</v>
      </c>
    </row>
    <row r="31" spans="1:3">
      <c r="A31" s="78">
        <v>39883</v>
      </c>
      <c r="B31" s="79" t="s">
        <v>115</v>
      </c>
      <c r="C31" s="80" t="s">
        <v>84</v>
      </c>
    </row>
    <row r="32" spans="1:3">
      <c r="A32" s="78">
        <v>39911</v>
      </c>
      <c r="B32" s="79" t="s">
        <v>116</v>
      </c>
      <c r="C32" s="80" t="s">
        <v>84</v>
      </c>
    </row>
    <row r="33" spans="1:3">
      <c r="A33" s="78">
        <v>39912</v>
      </c>
      <c r="B33" s="79" t="s">
        <v>117</v>
      </c>
      <c r="C33" s="80" t="s">
        <v>84</v>
      </c>
    </row>
    <row r="34" spans="1:3">
      <c r="A34" s="78">
        <v>39913</v>
      </c>
      <c r="B34" s="79" t="s">
        <v>118</v>
      </c>
      <c r="C34" s="80" t="s">
        <v>84</v>
      </c>
    </row>
    <row r="35" spans="1:3">
      <c r="A35" s="78">
        <v>39914</v>
      </c>
      <c r="B35" s="79" t="s">
        <v>119</v>
      </c>
      <c r="C35" s="80" t="s">
        <v>84</v>
      </c>
    </row>
    <row r="36" spans="1:3">
      <c r="A36" s="78">
        <v>39915</v>
      </c>
      <c r="B36" s="79" t="s">
        <v>120</v>
      </c>
      <c r="C36" s="80" t="s">
        <v>84</v>
      </c>
    </row>
    <row r="37" spans="1:3">
      <c r="A37" s="78">
        <v>39916</v>
      </c>
      <c r="B37" s="79" t="s">
        <v>121</v>
      </c>
      <c r="C37" s="80" t="s">
        <v>84</v>
      </c>
    </row>
    <row r="38" spans="1:3">
      <c r="A38" s="78">
        <v>39917</v>
      </c>
      <c r="B38" s="79" t="s">
        <v>122</v>
      </c>
      <c r="C38" s="80" t="s">
        <v>84</v>
      </c>
    </row>
    <row r="39" spans="1:3">
      <c r="A39" s="78">
        <v>39918</v>
      </c>
      <c r="B39" s="79" t="s">
        <v>123</v>
      </c>
      <c r="C39" s="80" t="s">
        <v>84</v>
      </c>
    </row>
    <row r="40" spans="1:3">
      <c r="A40" s="78">
        <v>39919</v>
      </c>
      <c r="B40" s="79" t="s">
        <v>124</v>
      </c>
      <c r="C40" s="80" t="s">
        <v>84</v>
      </c>
    </row>
    <row r="41" spans="1:3">
      <c r="A41" s="78">
        <v>39924</v>
      </c>
      <c r="B41" s="79" t="s">
        <v>125</v>
      </c>
      <c r="C41" s="80" t="s">
        <v>100</v>
      </c>
    </row>
    <row r="42" spans="1:3">
      <c r="A42" s="78">
        <v>39931</v>
      </c>
      <c r="B42" s="79" t="s">
        <v>126</v>
      </c>
      <c r="C42" s="80" t="s">
        <v>100</v>
      </c>
    </row>
    <row r="43" spans="1:3">
      <c r="A43" s="78">
        <v>39932</v>
      </c>
      <c r="B43" s="79" t="s">
        <v>127</v>
      </c>
      <c r="C43" s="80" t="s">
        <v>100</v>
      </c>
    </row>
    <row r="44" spans="1:3">
      <c r="A44" s="78">
        <v>39945</v>
      </c>
      <c r="B44" s="79" t="s">
        <v>128</v>
      </c>
      <c r="C44" s="80" t="s">
        <v>84</v>
      </c>
    </row>
    <row r="45" spans="1:3">
      <c r="A45" s="78">
        <v>39954</v>
      </c>
      <c r="B45" s="79" t="s">
        <v>129</v>
      </c>
      <c r="C45" s="80" t="s">
        <v>100</v>
      </c>
    </row>
    <row r="46" spans="1:3">
      <c r="A46" s="78">
        <v>39961</v>
      </c>
      <c r="B46" s="79" t="s">
        <v>130</v>
      </c>
      <c r="C46" s="80" t="s">
        <v>84</v>
      </c>
    </row>
    <row r="47" spans="1:3">
      <c r="A47" s="78">
        <v>39962</v>
      </c>
      <c r="B47" s="79" t="s">
        <v>131</v>
      </c>
      <c r="C47" s="80" t="s">
        <v>84</v>
      </c>
    </row>
    <row r="48" spans="1:3">
      <c r="A48" s="78">
        <v>39963</v>
      </c>
      <c r="B48" s="79" t="s">
        <v>132</v>
      </c>
      <c r="C48" s="80" t="s">
        <v>84</v>
      </c>
    </row>
    <row r="49" spans="1:3">
      <c r="A49" s="78">
        <v>40003</v>
      </c>
      <c r="B49" s="79" t="s">
        <v>133</v>
      </c>
      <c r="C49" s="80" t="s">
        <v>84</v>
      </c>
    </row>
    <row r="50" spans="1:3">
      <c r="A50" s="78">
        <v>40024</v>
      </c>
      <c r="B50" s="79" t="s">
        <v>134</v>
      </c>
      <c r="C50" s="80" t="s">
        <v>84</v>
      </c>
    </row>
    <row r="51" spans="1:3">
      <c r="A51" s="78">
        <v>40074</v>
      </c>
      <c r="B51" s="79" t="s">
        <v>135</v>
      </c>
      <c r="C51" s="80" t="s">
        <v>84</v>
      </c>
    </row>
    <row r="52" spans="1:3">
      <c r="A52" s="78">
        <v>40075</v>
      </c>
      <c r="B52" s="79" t="s">
        <v>83</v>
      </c>
      <c r="C52" s="80" t="s">
        <v>84</v>
      </c>
    </row>
    <row r="53" spans="1:3">
      <c r="A53" s="78">
        <v>40076</v>
      </c>
      <c r="B53" s="79" t="s">
        <v>85</v>
      </c>
      <c r="C53" s="80" t="s">
        <v>84</v>
      </c>
    </row>
    <row r="54" spans="1:3">
      <c r="A54" s="78">
        <v>40077</v>
      </c>
      <c r="B54" s="79" t="s">
        <v>86</v>
      </c>
      <c r="C54" s="80" t="s">
        <v>84</v>
      </c>
    </row>
    <row r="55" spans="1:3">
      <c r="A55" s="78">
        <v>40083</v>
      </c>
      <c r="B55" s="79" t="s">
        <v>87</v>
      </c>
      <c r="C55" s="80" t="s">
        <v>84</v>
      </c>
    </row>
    <row r="56" spans="1:3">
      <c r="A56" s="78">
        <v>40084</v>
      </c>
      <c r="B56" s="79" t="s">
        <v>88</v>
      </c>
      <c r="C56" s="80" t="s">
        <v>84</v>
      </c>
    </row>
    <row r="57" spans="1:3">
      <c r="A57" s="78">
        <v>40088</v>
      </c>
      <c r="B57" s="79" t="s">
        <v>89</v>
      </c>
      <c r="C57" s="80" t="s">
        <v>84</v>
      </c>
    </row>
    <row r="58" spans="1:3">
      <c r="A58" s="78">
        <v>40089</v>
      </c>
      <c r="B58" s="79" t="s">
        <v>90</v>
      </c>
      <c r="C58" s="80" t="s">
        <v>84</v>
      </c>
    </row>
    <row r="59" spans="1:3">
      <c r="A59" s="78">
        <v>40090</v>
      </c>
      <c r="B59" s="79" t="s">
        <v>91</v>
      </c>
      <c r="C59" s="80" t="s">
        <v>84</v>
      </c>
    </row>
    <row r="60" spans="1:3">
      <c r="A60" s="78">
        <v>40091</v>
      </c>
      <c r="B60" s="79" t="s">
        <v>92</v>
      </c>
      <c r="C60" s="80" t="s">
        <v>84</v>
      </c>
    </row>
    <row r="61" spans="1:3">
      <c r="A61" s="78">
        <v>40092</v>
      </c>
      <c r="B61" s="79" t="s">
        <v>93</v>
      </c>
      <c r="C61" s="80" t="s">
        <v>84</v>
      </c>
    </row>
    <row r="62" spans="1:3">
      <c r="A62" s="78">
        <v>40093</v>
      </c>
      <c r="B62" s="79" t="s">
        <v>94</v>
      </c>
      <c r="C62" s="80" t="s">
        <v>84</v>
      </c>
    </row>
    <row r="63" spans="1:3">
      <c r="A63" s="78">
        <v>40094</v>
      </c>
      <c r="B63" s="79" t="s">
        <v>95</v>
      </c>
      <c r="C63" s="80" t="s">
        <v>84</v>
      </c>
    </row>
    <row r="64" spans="1:3">
      <c r="A64" s="78">
        <v>40095</v>
      </c>
      <c r="B64" s="79" t="s">
        <v>96</v>
      </c>
      <c r="C64" s="80" t="s">
        <v>84</v>
      </c>
    </row>
    <row r="65" spans="1:3">
      <c r="A65" s="78">
        <v>40096</v>
      </c>
      <c r="B65" s="79" t="s">
        <v>97</v>
      </c>
      <c r="C65" s="80" t="s">
        <v>84</v>
      </c>
    </row>
    <row r="66" spans="1:3">
      <c r="A66" s="78">
        <v>40097</v>
      </c>
      <c r="B66" s="79" t="s">
        <v>98</v>
      </c>
      <c r="C66" s="80" t="s">
        <v>84</v>
      </c>
    </row>
    <row r="67" spans="1:3">
      <c r="A67" s="78">
        <v>40115</v>
      </c>
      <c r="B67" s="79" t="s">
        <v>99</v>
      </c>
      <c r="C67" s="80" t="s">
        <v>100</v>
      </c>
    </row>
    <row r="68" spans="1:3">
      <c r="A68" s="78">
        <v>40159</v>
      </c>
      <c r="B68" s="79" t="s">
        <v>101</v>
      </c>
      <c r="C68" s="80" t="s">
        <v>84</v>
      </c>
    </row>
    <row r="69" spans="1:3">
      <c r="A69" s="78">
        <v>40160</v>
      </c>
      <c r="B69" s="79" t="s">
        <v>102</v>
      </c>
      <c r="C69" s="80" t="s">
        <v>84</v>
      </c>
    </row>
    <row r="70" spans="1:3">
      <c r="A70" s="78">
        <v>40161</v>
      </c>
      <c r="B70" s="79" t="s">
        <v>103</v>
      </c>
      <c r="C70" s="80" t="s">
        <v>84</v>
      </c>
    </row>
    <row r="71" spans="1:3">
      <c r="A71" s="78">
        <v>40162</v>
      </c>
      <c r="B71" s="79" t="s">
        <v>104</v>
      </c>
      <c r="C71" s="80" t="s">
        <v>84</v>
      </c>
    </row>
    <row r="72" spans="1:3">
      <c r="A72" s="78">
        <v>40163</v>
      </c>
      <c r="B72" s="79" t="s">
        <v>105</v>
      </c>
      <c r="C72" s="80" t="s">
        <v>84</v>
      </c>
    </row>
    <row r="73" spans="1:3">
      <c r="A73" s="78">
        <v>40164</v>
      </c>
      <c r="B73" s="79" t="s">
        <v>106</v>
      </c>
      <c r="C73" s="80" t="s">
        <v>84</v>
      </c>
    </row>
    <row r="74" spans="1:3">
      <c r="A74" s="78">
        <v>40165</v>
      </c>
      <c r="B74" s="79" t="s">
        <v>107</v>
      </c>
      <c r="C74" s="80" t="s">
        <v>84</v>
      </c>
    </row>
    <row r="75" spans="1:3">
      <c r="A75" s="78">
        <v>40166</v>
      </c>
      <c r="B75" s="79" t="s">
        <v>108</v>
      </c>
      <c r="C75" s="80" t="s">
        <v>84</v>
      </c>
    </row>
    <row r="76" spans="1:3">
      <c r="A76" s="78">
        <v>40174</v>
      </c>
      <c r="B76" s="79" t="s">
        <v>109</v>
      </c>
      <c r="C76" s="80" t="s">
        <v>84</v>
      </c>
    </row>
    <row r="77" spans="1:3">
      <c r="A77" s="78">
        <v>40205</v>
      </c>
      <c r="B77" s="79" t="s">
        <v>110</v>
      </c>
      <c r="C77" s="80" t="s">
        <v>111</v>
      </c>
    </row>
    <row r="78" spans="1:3">
      <c r="A78" s="78">
        <v>40208</v>
      </c>
      <c r="B78" s="79" t="s">
        <v>112</v>
      </c>
      <c r="C78" s="80" t="s">
        <v>84</v>
      </c>
    </row>
    <row r="79" spans="1:3">
      <c r="A79" s="78">
        <v>40234</v>
      </c>
      <c r="B79" s="79" t="s">
        <v>113</v>
      </c>
      <c r="C79" s="80" t="s">
        <v>84</v>
      </c>
    </row>
    <row r="80" spans="1:3">
      <c r="A80" s="78">
        <v>40237</v>
      </c>
      <c r="B80" s="79" t="s">
        <v>114</v>
      </c>
      <c r="C80" s="80" t="s">
        <v>84</v>
      </c>
    </row>
    <row r="81" spans="1:3">
      <c r="A81" s="78">
        <v>40238</v>
      </c>
      <c r="B81" s="79" t="s">
        <v>115</v>
      </c>
      <c r="C81" s="80" t="s">
        <v>84</v>
      </c>
    </row>
    <row r="82" spans="1:3">
      <c r="A82" s="78">
        <v>40266</v>
      </c>
      <c r="B82" s="79" t="s">
        <v>116</v>
      </c>
      <c r="C82" s="80" t="s">
        <v>84</v>
      </c>
    </row>
    <row r="83" spans="1:3">
      <c r="A83" s="78">
        <v>40267</v>
      </c>
      <c r="B83" s="79" t="s">
        <v>117</v>
      </c>
      <c r="C83" s="80" t="s">
        <v>84</v>
      </c>
    </row>
    <row r="84" spans="1:3">
      <c r="A84" s="78">
        <v>40268</v>
      </c>
      <c r="B84" s="79" t="s">
        <v>118</v>
      </c>
      <c r="C84" s="80" t="s">
        <v>84</v>
      </c>
    </row>
    <row r="85" spans="1:3">
      <c r="A85" s="78">
        <v>40269</v>
      </c>
      <c r="B85" s="79" t="s">
        <v>119</v>
      </c>
      <c r="C85" s="80" t="s">
        <v>84</v>
      </c>
    </row>
    <row r="86" spans="1:3">
      <c r="A86" s="78">
        <v>40270</v>
      </c>
      <c r="B86" s="79" t="s">
        <v>120</v>
      </c>
      <c r="C86" s="80" t="s">
        <v>84</v>
      </c>
    </row>
    <row r="87" spans="1:3">
      <c r="A87" s="78">
        <v>40271</v>
      </c>
      <c r="B87" s="79" t="s">
        <v>121</v>
      </c>
      <c r="C87" s="80" t="s">
        <v>84</v>
      </c>
    </row>
    <row r="88" spans="1:3">
      <c r="A88" s="78">
        <v>40272</v>
      </c>
      <c r="B88" s="79" t="s">
        <v>122</v>
      </c>
      <c r="C88" s="80" t="s">
        <v>84</v>
      </c>
    </row>
    <row r="89" spans="1:3">
      <c r="A89" s="78">
        <v>40273</v>
      </c>
      <c r="B89" s="79" t="s">
        <v>123</v>
      </c>
      <c r="C89" s="80" t="s">
        <v>84</v>
      </c>
    </row>
    <row r="90" spans="1:3">
      <c r="A90" s="78">
        <v>40274</v>
      </c>
      <c r="B90" s="79" t="s">
        <v>124</v>
      </c>
      <c r="C90" s="80" t="s">
        <v>84</v>
      </c>
    </row>
    <row r="91" spans="1:3">
      <c r="A91" s="78">
        <v>40280</v>
      </c>
      <c r="B91" s="79" t="s">
        <v>125</v>
      </c>
      <c r="C91" s="80" t="s">
        <v>100</v>
      </c>
    </row>
    <row r="92" spans="1:3">
      <c r="A92" s="78">
        <v>40287</v>
      </c>
      <c r="B92" s="79" t="s">
        <v>126</v>
      </c>
      <c r="C92" s="80" t="s">
        <v>100</v>
      </c>
    </row>
    <row r="93" spans="1:3">
      <c r="A93" s="78">
        <v>40288</v>
      </c>
      <c r="B93" s="79" t="s">
        <v>127</v>
      </c>
      <c r="C93" s="80" t="s">
        <v>100</v>
      </c>
    </row>
    <row r="94" spans="1:3">
      <c r="A94" s="78">
        <v>40300</v>
      </c>
      <c r="B94" s="79" t="s">
        <v>128</v>
      </c>
      <c r="C94" s="80" t="s">
        <v>84</v>
      </c>
    </row>
    <row r="95" spans="1:3">
      <c r="A95" s="78">
        <v>40310</v>
      </c>
      <c r="B95" s="79" t="s">
        <v>129</v>
      </c>
      <c r="C95" s="80" t="s">
        <v>100</v>
      </c>
    </row>
    <row r="96" spans="1:3">
      <c r="A96" s="78">
        <v>40316</v>
      </c>
      <c r="B96" s="79" t="s">
        <v>130</v>
      </c>
      <c r="C96" s="80" t="s">
        <v>84</v>
      </c>
    </row>
    <row r="97" spans="1:3">
      <c r="A97" s="78">
        <v>40317</v>
      </c>
      <c r="B97" s="79" t="s">
        <v>131</v>
      </c>
      <c r="C97" s="80" t="s">
        <v>84</v>
      </c>
    </row>
    <row r="98" spans="1:3">
      <c r="A98" s="78">
        <v>40318</v>
      </c>
      <c r="B98" s="79" t="s">
        <v>132</v>
      </c>
      <c r="C98" s="80" t="s">
        <v>84</v>
      </c>
    </row>
    <row r="99" spans="1:3">
      <c r="A99" s="78">
        <v>40358</v>
      </c>
      <c r="B99" s="79" t="s">
        <v>133</v>
      </c>
      <c r="C99" s="80" t="s">
        <v>84</v>
      </c>
    </row>
    <row r="100" spans="1:3">
      <c r="A100" s="78">
        <v>40379</v>
      </c>
      <c r="B100" s="79" t="s">
        <v>134</v>
      </c>
      <c r="C100" s="80" t="s">
        <v>84</v>
      </c>
    </row>
    <row r="101" spans="1:3">
      <c r="A101" s="78">
        <v>40429</v>
      </c>
      <c r="B101" s="79" t="s">
        <v>135</v>
      </c>
      <c r="C101" s="80" t="s">
        <v>84</v>
      </c>
    </row>
    <row r="102" spans="1:3">
      <c r="A102" s="78">
        <v>40430</v>
      </c>
      <c r="B102" s="79" t="s">
        <v>83</v>
      </c>
      <c r="C102" s="80" t="s">
        <v>84</v>
      </c>
    </row>
    <row r="103" spans="1:3">
      <c r="A103" s="78">
        <v>40431</v>
      </c>
      <c r="B103" s="79" t="s">
        <v>85</v>
      </c>
      <c r="C103" s="80" t="s">
        <v>84</v>
      </c>
    </row>
    <row r="104" spans="1:3">
      <c r="A104" s="78">
        <v>40433</v>
      </c>
      <c r="B104" s="79" t="s">
        <v>86</v>
      </c>
      <c r="C104" s="80" t="s">
        <v>84</v>
      </c>
    </row>
    <row r="105" spans="1:3">
      <c r="A105" s="78">
        <v>40438</v>
      </c>
      <c r="B105" s="79" t="s">
        <v>87</v>
      </c>
      <c r="C105" s="80" t="s">
        <v>84</v>
      </c>
    </row>
    <row r="106" spans="1:3">
      <c r="A106" s="78">
        <v>40439</v>
      </c>
      <c r="B106" s="79" t="s">
        <v>88</v>
      </c>
      <c r="C106" s="80" t="s">
        <v>84</v>
      </c>
    </row>
    <row r="107" spans="1:3">
      <c r="A107" s="78">
        <v>40443</v>
      </c>
      <c r="B107" s="79" t="s">
        <v>89</v>
      </c>
      <c r="C107" s="80" t="s">
        <v>84</v>
      </c>
    </row>
    <row r="108" spans="1:3">
      <c r="A108" s="78">
        <v>40444</v>
      </c>
      <c r="B108" s="79" t="s">
        <v>90</v>
      </c>
      <c r="C108" s="80" t="s">
        <v>84</v>
      </c>
    </row>
    <row r="109" spans="1:3">
      <c r="A109" s="78">
        <v>40445</v>
      </c>
      <c r="B109" s="79" t="s">
        <v>91</v>
      </c>
      <c r="C109" s="80" t="s">
        <v>84</v>
      </c>
    </row>
    <row r="110" spans="1:3">
      <c r="A110" s="78">
        <v>40446</v>
      </c>
      <c r="B110" s="79" t="s">
        <v>92</v>
      </c>
      <c r="C110" s="80" t="s">
        <v>84</v>
      </c>
    </row>
    <row r="111" spans="1:3">
      <c r="A111" s="78">
        <v>40447</v>
      </c>
      <c r="B111" s="79" t="s">
        <v>93</v>
      </c>
      <c r="C111" s="80" t="s">
        <v>84</v>
      </c>
    </row>
    <row r="112" spans="1:3">
      <c r="A112" s="78">
        <v>40448</v>
      </c>
      <c r="B112" s="79" t="s">
        <v>94</v>
      </c>
      <c r="C112" s="80" t="s">
        <v>84</v>
      </c>
    </row>
    <row r="113" spans="1:3">
      <c r="A113" s="78">
        <v>40449</v>
      </c>
      <c r="B113" s="79" t="s">
        <v>95</v>
      </c>
      <c r="C113" s="80" t="s">
        <v>84</v>
      </c>
    </row>
    <row r="114" spans="1:3">
      <c r="A114" s="78">
        <v>40450</v>
      </c>
      <c r="B114" s="79" t="s">
        <v>96</v>
      </c>
      <c r="C114" s="80" t="s">
        <v>84</v>
      </c>
    </row>
    <row r="115" spans="1:3">
      <c r="A115" s="78">
        <v>40451</v>
      </c>
      <c r="B115" s="79" t="s">
        <v>97</v>
      </c>
      <c r="C115" s="80" t="s">
        <v>84</v>
      </c>
    </row>
    <row r="116" spans="1:3">
      <c r="A116" s="78">
        <v>40452</v>
      </c>
      <c r="B116" s="79" t="s">
        <v>98</v>
      </c>
      <c r="C116" s="80" t="s">
        <v>84</v>
      </c>
    </row>
    <row r="117" spans="1:3">
      <c r="A117" s="78">
        <v>40471</v>
      </c>
      <c r="B117" s="79" t="s">
        <v>99</v>
      </c>
      <c r="C117" s="80" t="s">
        <v>100</v>
      </c>
    </row>
    <row r="118" spans="1:3">
      <c r="A118" s="78">
        <v>40514</v>
      </c>
      <c r="B118" s="79" t="s">
        <v>101</v>
      </c>
      <c r="C118" s="80" t="s">
        <v>84</v>
      </c>
    </row>
    <row r="119" spans="1:3">
      <c r="A119" s="78">
        <v>40515</v>
      </c>
      <c r="B119" s="79" t="s">
        <v>102</v>
      </c>
      <c r="C119" s="80" t="s">
        <v>84</v>
      </c>
    </row>
    <row r="120" spans="1:3">
      <c r="A120" s="78">
        <v>40516</v>
      </c>
      <c r="B120" s="79" t="s">
        <v>103</v>
      </c>
      <c r="C120" s="80" t="s">
        <v>84</v>
      </c>
    </row>
    <row r="121" spans="1:3">
      <c r="A121" s="78">
        <v>40517</v>
      </c>
      <c r="B121" s="79" t="s">
        <v>104</v>
      </c>
      <c r="C121" s="80" t="s">
        <v>84</v>
      </c>
    </row>
    <row r="122" spans="1:3">
      <c r="A122" s="78">
        <v>40518</v>
      </c>
      <c r="B122" s="79" t="s">
        <v>105</v>
      </c>
      <c r="C122" s="80" t="s">
        <v>84</v>
      </c>
    </row>
    <row r="123" spans="1:3">
      <c r="A123" s="78">
        <v>40519</v>
      </c>
      <c r="B123" s="79" t="s">
        <v>106</v>
      </c>
      <c r="C123" s="80" t="s">
        <v>84</v>
      </c>
    </row>
    <row r="124" spans="1:3">
      <c r="A124" s="78">
        <v>40520</v>
      </c>
      <c r="B124" s="79" t="s">
        <v>107</v>
      </c>
      <c r="C124" s="80" t="s">
        <v>84</v>
      </c>
    </row>
    <row r="125" spans="1:3">
      <c r="A125" s="78">
        <v>40521</v>
      </c>
      <c r="B125" s="79" t="s">
        <v>108</v>
      </c>
      <c r="C125" s="80" t="s">
        <v>84</v>
      </c>
    </row>
    <row r="126" spans="1:3">
      <c r="A126" s="78">
        <v>40528</v>
      </c>
      <c r="B126" s="79" t="s">
        <v>109</v>
      </c>
      <c r="C126" s="80" t="s">
        <v>84</v>
      </c>
    </row>
    <row r="127" spans="1:3">
      <c r="A127" s="78">
        <v>40563</v>
      </c>
      <c r="B127" s="79" t="s">
        <v>112</v>
      </c>
      <c r="C127" s="80" t="s">
        <v>84</v>
      </c>
    </row>
    <row r="128" spans="1:3">
      <c r="A128" s="78">
        <v>40570</v>
      </c>
      <c r="B128" s="79" t="s">
        <v>110</v>
      </c>
      <c r="C128" s="80" t="s">
        <v>111</v>
      </c>
    </row>
    <row r="129" spans="1:3">
      <c r="A129" s="78">
        <v>40619</v>
      </c>
      <c r="B129" s="79" t="s">
        <v>113</v>
      </c>
      <c r="C129" s="80" t="s">
        <v>84</v>
      </c>
    </row>
    <row r="130" spans="1:3">
      <c r="A130" s="78">
        <v>40622</v>
      </c>
      <c r="B130" s="79" t="s">
        <v>136</v>
      </c>
      <c r="C130" s="80" t="s">
        <v>84</v>
      </c>
    </row>
    <row r="131" spans="1:3">
      <c r="A131" s="78">
        <v>40623</v>
      </c>
      <c r="B131" s="79" t="s">
        <v>115</v>
      </c>
      <c r="C131" s="80" t="s">
        <v>84</v>
      </c>
    </row>
    <row r="132" spans="1:3">
      <c r="A132" s="78">
        <v>40651</v>
      </c>
      <c r="B132" s="79" t="s">
        <v>116</v>
      </c>
      <c r="C132" s="80" t="s">
        <v>84</v>
      </c>
    </row>
    <row r="133" spans="1:3">
      <c r="A133" s="78">
        <v>40652</v>
      </c>
      <c r="B133" s="79" t="s">
        <v>117</v>
      </c>
      <c r="C133" s="80" t="s">
        <v>84</v>
      </c>
    </row>
    <row r="134" spans="1:3">
      <c r="A134" s="78">
        <v>40653</v>
      </c>
      <c r="B134" s="79" t="s">
        <v>118</v>
      </c>
      <c r="C134" s="80" t="s">
        <v>84</v>
      </c>
    </row>
    <row r="135" spans="1:3">
      <c r="A135" s="78">
        <v>40654</v>
      </c>
      <c r="B135" s="79" t="s">
        <v>119</v>
      </c>
      <c r="C135" s="80" t="s">
        <v>84</v>
      </c>
    </row>
    <row r="136" spans="1:3">
      <c r="A136" s="78">
        <v>40655</v>
      </c>
      <c r="B136" s="79" t="s">
        <v>120</v>
      </c>
      <c r="C136" s="80" t="s">
        <v>84</v>
      </c>
    </row>
    <row r="137" spans="1:3">
      <c r="A137" s="78">
        <v>40656</v>
      </c>
      <c r="B137" s="79" t="s">
        <v>121</v>
      </c>
      <c r="C137" s="80" t="s">
        <v>84</v>
      </c>
    </row>
    <row r="138" spans="1:3">
      <c r="A138" s="78">
        <v>40657</v>
      </c>
      <c r="B138" s="79" t="s">
        <v>122</v>
      </c>
      <c r="C138" s="80" t="s">
        <v>84</v>
      </c>
    </row>
    <row r="139" spans="1:3">
      <c r="A139" s="78">
        <v>40658</v>
      </c>
      <c r="B139" s="79" t="s">
        <v>123</v>
      </c>
      <c r="C139" s="80" t="s">
        <v>84</v>
      </c>
    </row>
    <row r="140" spans="1:3">
      <c r="A140" s="78">
        <v>40659</v>
      </c>
      <c r="B140" s="79" t="s">
        <v>124</v>
      </c>
      <c r="C140" s="80" t="s">
        <v>84</v>
      </c>
    </row>
    <row r="141" spans="1:3">
      <c r="A141" s="78">
        <v>40665</v>
      </c>
      <c r="B141" s="79" t="s">
        <v>125</v>
      </c>
      <c r="C141" s="80" t="s">
        <v>100</v>
      </c>
    </row>
    <row r="142" spans="1:3">
      <c r="A142" s="78">
        <v>40672</v>
      </c>
      <c r="B142" s="79" t="s">
        <v>126</v>
      </c>
      <c r="C142" s="80" t="s">
        <v>100</v>
      </c>
    </row>
    <row r="143" spans="1:3">
      <c r="A143" s="78">
        <v>40673</v>
      </c>
      <c r="B143" s="79" t="s">
        <v>127</v>
      </c>
      <c r="C143" s="80" t="s">
        <v>100</v>
      </c>
    </row>
    <row r="144" spans="1:3">
      <c r="A144" s="78">
        <v>40685</v>
      </c>
      <c r="B144" s="79" t="s">
        <v>128</v>
      </c>
      <c r="C144" s="80" t="s">
        <v>84</v>
      </c>
    </row>
    <row r="145" spans="1:3">
      <c r="A145" s="78">
        <v>40695</v>
      </c>
      <c r="B145" s="79" t="s">
        <v>129</v>
      </c>
      <c r="C145" s="80" t="s">
        <v>100</v>
      </c>
    </row>
    <row r="146" spans="1:3">
      <c r="A146" s="78">
        <v>40701</v>
      </c>
      <c r="B146" s="79" t="s">
        <v>130</v>
      </c>
      <c r="C146" s="80" t="s">
        <v>84</v>
      </c>
    </row>
    <row r="147" spans="1:3">
      <c r="A147" s="78">
        <v>40702</v>
      </c>
      <c r="B147" s="79" t="s">
        <v>131</v>
      </c>
      <c r="C147" s="80" t="s">
        <v>84</v>
      </c>
    </row>
    <row r="148" spans="1:3">
      <c r="A148" s="78">
        <v>40703</v>
      </c>
      <c r="B148" s="79" t="s">
        <v>132</v>
      </c>
      <c r="C148" s="80" t="s">
        <v>84</v>
      </c>
    </row>
    <row r="149" spans="1:3">
      <c r="A149" s="78">
        <v>40743</v>
      </c>
      <c r="B149" s="79" t="s">
        <v>133</v>
      </c>
      <c r="C149" s="80" t="s">
        <v>84</v>
      </c>
    </row>
    <row r="150" spans="1:3">
      <c r="A150" s="78">
        <v>40764</v>
      </c>
      <c r="B150" s="79" t="s">
        <v>134</v>
      </c>
      <c r="C150" s="80" t="s">
        <v>84</v>
      </c>
    </row>
    <row r="151" spans="1:3">
      <c r="A151" s="78">
        <v>40814</v>
      </c>
      <c r="B151" s="79" t="s">
        <v>135</v>
      </c>
      <c r="C151" s="80" t="s">
        <v>84</v>
      </c>
    </row>
    <row r="152" spans="1:3">
      <c r="A152" s="78">
        <v>40815</v>
      </c>
      <c r="B152" s="79" t="s">
        <v>83</v>
      </c>
      <c r="C152" s="80" t="s">
        <v>84</v>
      </c>
    </row>
    <row r="153" spans="1:3">
      <c r="A153" s="78">
        <v>40816</v>
      </c>
      <c r="B153" s="79" t="s">
        <v>85</v>
      </c>
      <c r="C153" s="80" t="s">
        <v>84</v>
      </c>
    </row>
    <row r="154" spans="1:3">
      <c r="A154" s="78">
        <v>40818</v>
      </c>
      <c r="B154" s="79" t="s">
        <v>86</v>
      </c>
      <c r="C154" s="80" t="s">
        <v>84</v>
      </c>
    </row>
    <row r="155" spans="1:3">
      <c r="A155" s="78">
        <v>40823</v>
      </c>
      <c r="B155" s="79" t="s">
        <v>87</v>
      </c>
      <c r="C155" s="80" t="s">
        <v>84</v>
      </c>
    </row>
    <row r="156" spans="1:3">
      <c r="A156" s="78">
        <v>40824</v>
      </c>
      <c r="B156" s="79" t="s">
        <v>88</v>
      </c>
      <c r="C156" s="80" t="s">
        <v>84</v>
      </c>
    </row>
    <row r="157" spans="1:3">
      <c r="A157" s="78">
        <v>40828</v>
      </c>
      <c r="B157" s="79" t="s">
        <v>89</v>
      </c>
      <c r="C157" s="80" t="s">
        <v>84</v>
      </c>
    </row>
    <row r="158" spans="1:3">
      <c r="A158" s="78">
        <v>40829</v>
      </c>
      <c r="B158" s="79" t="s">
        <v>90</v>
      </c>
      <c r="C158" s="80" t="s">
        <v>84</v>
      </c>
    </row>
    <row r="159" spans="1:3">
      <c r="A159" s="78">
        <v>40830</v>
      </c>
      <c r="B159" s="79" t="s">
        <v>91</v>
      </c>
      <c r="C159" s="80" t="s">
        <v>84</v>
      </c>
    </row>
    <row r="160" spans="1:3">
      <c r="A160" s="78">
        <v>40831</v>
      </c>
      <c r="B160" s="79" t="s">
        <v>92</v>
      </c>
      <c r="C160" s="80" t="s">
        <v>84</v>
      </c>
    </row>
    <row r="161" spans="1:3">
      <c r="A161" s="78">
        <v>40832</v>
      </c>
      <c r="B161" s="79" t="s">
        <v>93</v>
      </c>
      <c r="C161" s="80" t="s">
        <v>84</v>
      </c>
    </row>
    <row r="162" spans="1:3">
      <c r="A162" s="78">
        <v>40833</v>
      </c>
      <c r="B162" s="79" t="s">
        <v>94</v>
      </c>
      <c r="C162" s="80" t="s">
        <v>84</v>
      </c>
    </row>
    <row r="163" spans="1:3">
      <c r="A163" s="78">
        <v>40834</v>
      </c>
      <c r="B163" s="79" t="s">
        <v>95</v>
      </c>
      <c r="C163" s="80" t="s">
        <v>84</v>
      </c>
    </row>
    <row r="164" spans="1:3">
      <c r="A164" s="78">
        <v>40835</v>
      </c>
      <c r="B164" s="79" t="s">
        <v>96</v>
      </c>
      <c r="C164" s="80" t="s">
        <v>84</v>
      </c>
    </row>
    <row r="165" spans="1:3">
      <c r="A165" s="78">
        <v>40836</v>
      </c>
      <c r="B165" s="79" t="s">
        <v>97</v>
      </c>
      <c r="C165" s="80" t="s">
        <v>84</v>
      </c>
    </row>
    <row r="166" spans="1:3">
      <c r="A166" s="78">
        <v>40837</v>
      </c>
      <c r="B166" s="79" t="s">
        <v>98</v>
      </c>
      <c r="C166" s="80" t="s">
        <v>84</v>
      </c>
    </row>
    <row r="167" spans="1:3">
      <c r="A167" s="78">
        <v>40856</v>
      </c>
      <c r="B167" s="79" t="s">
        <v>99</v>
      </c>
      <c r="C167" s="80" t="s">
        <v>100</v>
      </c>
    </row>
    <row r="168" spans="1:3">
      <c r="A168" s="78">
        <v>40898</v>
      </c>
      <c r="B168" s="79" t="s">
        <v>101</v>
      </c>
      <c r="C168" s="80" t="s">
        <v>84</v>
      </c>
    </row>
    <row r="169" spans="1:3">
      <c r="A169" s="78">
        <v>40899</v>
      </c>
      <c r="B169" s="79" t="s">
        <v>102</v>
      </c>
      <c r="C169" s="80" t="s">
        <v>84</v>
      </c>
    </row>
    <row r="170" spans="1:3">
      <c r="A170" s="78">
        <v>40900</v>
      </c>
      <c r="B170" s="79" t="s">
        <v>103</v>
      </c>
      <c r="C170" s="80" t="s">
        <v>84</v>
      </c>
    </row>
    <row r="171" spans="1:3">
      <c r="A171" s="78">
        <v>40901</v>
      </c>
      <c r="B171" s="79" t="s">
        <v>104</v>
      </c>
      <c r="C171" s="80" t="s">
        <v>84</v>
      </c>
    </row>
    <row r="172" spans="1:3">
      <c r="A172" s="78">
        <v>40902</v>
      </c>
      <c r="B172" s="79" t="s">
        <v>105</v>
      </c>
      <c r="C172" s="80" t="s">
        <v>84</v>
      </c>
    </row>
    <row r="173" spans="1:3">
      <c r="A173" s="78">
        <v>40903</v>
      </c>
      <c r="B173" s="79" t="s">
        <v>106</v>
      </c>
      <c r="C173" s="80" t="s">
        <v>84</v>
      </c>
    </row>
    <row r="174" spans="1:3">
      <c r="A174" s="78">
        <v>40904</v>
      </c>
      <c r="B174" s="79" t="s">
        <v>107</v>
      </c>
      <c r="C174" s="80" t="s">
        <v>84</v>
      </c>
    </row>
    <row r="175" spans="1:3">
      <c r="A175" s="78">
        <v>40905</v>
      </c>
      <c r="B175" s="79" t="s">
        <v>108</v>
      </c>
      <c r="C175" s="80" t="s">
        <v>84</v>
      </c>
    </row>
    <row r="176" spans="1:3">
      <c r="A176" s="78">
        <v>40913</v>
      </c>
      <c r="B176" s="79" t="s">
        <v>109</v>
      </c>
      <c r="C176" s="80" t="s">
        <v>84</v>
      </c>
    </row>
    <row r="177" spans="1:3">
      <c r="A177" s="78">
        <v>40935</v>
      </c>
      <c r="B177" s="79" t="s">
        <v>110</v>
      </c>
      <c r="C177" s="80" t="s">
        <v>111</v>
      </c>
    </row>
    <row r="178" spans="1:3">
      <c r="A178" s="78">
        <v>40947</v>
      </c>
      <c r="B178" s="79" t="s">
        <v>112</v>
      </c>
      <c r="C178" s="80" t="s">
        <v>84</v>
      </c>
    </row>
    <row r="179" spans="1:3">
      <c r="A179" s="78">
        <v>40975</v>
      </c>
      <c r="B179" s="79" t="s">
        <v>113</v>
      </c>
      <c r="C179" s="80" t="s">
        <v>84</v>
      </c>
    </row>
    <row r="180" spans="1:3">
      <c r="A180" s="78">
        <v>40976</v>
      </c>
      <c r="B180" s="79" t="s">
        <v>114</v>
      </c>
      <c r="C180" s="80" t="s">
        <v>84</v>
      </c>
    </row>
    <row r="181" spans="1:3">
      <c r="A181" s="78">
        <v>40977</v>
      </c>
      <c r="B181" s="79" t="s">
        <v>115</v>
      </c>
      <c r="C181" s="80" t="s">
        <v>84</v>
      </c>
    </row>
    <row r="182" spans="1:3">
      <c r="A182" s="78">
        <v>41005</v>
      </c>
      <c r="B182" s="79" t="s">
        <v>116</v>
      </c>
      <c r="C182" s="80" t="s">
        <v>84</v>
      </c>
    </row>
    <row r="183" spans="1:3">
      <c r="A183" s="78">
        <v>41006</v>
      </c>
      <c r="B183" s="79" t="s">
        <v>117</v>
      </c>
      <c r="C183" s="80" t="s">
        <v>84</v>
      </c>
    </row>
    <row r="184" spans="1:3">
      <c r="A184" s="78">
        <v>41007</v>
      </c>
      <c r="B184" s="79" t="s">
        <v>118</v>
      </c>
      <c r="C184" s="80" t="s">
        <v>84</v>
      </c>
    </row>
    <row r="185" spans="1:3">
      <c r="A185" s="78">
        <v>41008</v>
      </c>
      <c r="B185" s="79" t="s">
        <v>119</v>
      </c>
      <c r="C185" s="80" t="s">
        <v>84</v>
      </c>
    </row>
    <row r="186" spans="1:3">
      <c r="A186" s="78">
        <v>41009</v>
      </c>
      <c r="B186" s="79" t="s">
        <v>120</v>
      </c>
      <c r="C186" s="80" t="s">
        <v>84</v>
      </c>
    </row>
    <row r="187" spans="1:3">
      <c r="A187" s="78">
        <v>41010</v>
      </c>
      <c r="B187" s="79" t="s">
        <v>121</v>
      </c>
      <c r="C187" s="80" t="s">
        <v>84</v>
      </c>
    </row>
    <row r="188" spans="1:3">
      <c r="A188" s="78">
        <v>41011</v>
      </c>
      <c r="B188" s="79" t="s">
        <v>122</v>
      </c>
      <c r="C188" s="80" t="s">
        <v>84</v>
      </c>
    </row>
    <row r="189" spans="1:3">
      <c r="A189" s="78">
        <v>41012</v>
      </c>
      <c r="B189" s="79" t="s">
        <v>123</v>
      </c>
      <c r="C189" s="80" t="s">
        <v>84</v>
      </c>
    </row>
    <row r="190" spans="1:3">
      <c r="A190" s="78">
        <v>41013</v>
      </c>
      <c r="B190" s="79" t="s">
        <v>124</v>
      </c>
      <c r="C190" s="80" t="s">
        <v>84</v>
      </c>
    </row>
    <row r="191" spans="1:3">
      <c r="A191" s="78">
        <v>41018</v>
      </c>
      <c r="B191" s="79" t="s">
        <v>125</v>
      </c>
      <c r="C191" s="80" t="s">
        <v>100</v>
      </c>
    </row>
    <row r="192" spans="1:3">
      <c r="A192" s="78">
        <v>41024</v>
      </c>
      <c r="B192" s="79" t="s">
        <v>126</v>
      </c>
      <c r="C192" s="80" t="s">
        <v>100</v>
      </c>
    </row>
    <row r="193" spans="1:3">
      <c r="A193" s="78">
        <v>41025</v>
      </c>
      <c r="B193" s="79" t="s">
        <v>127</v>
      </c>
      <c r="C193" s="80" t="s">
        <v>100</v>
      </c>
    </row>
    <row r="194" spans="1:3">
      <c r="A194" s="78">
        <v>41039</v>
      </c>
      <c r="B194" s="79" t="s">
        <v>128</v>
      </c>
      <c r="C194" s="80" t="s">
        <v>84</v>
      </c>
    </row>
    <row r="195" spans="1:3">
      <c r="A195" s="78">
        <v>41049</v>
      </c>
      <c r="B195" s="79" t="s">
        <v>129</v>
      </c>
      <c r="C195" s="80" t="s">
        <v>100</v>
      </c>
    </row>
    <row r="196" spans="1:3">
      <c r="A196" s="78">
        <v>41055</v>
      </c>
      <c r="B196" s="79" t="s">
        <v>130</v>
      </c>
      <c r="C196" s="80" t="s">
        <v>84</v>
      </c>
    </row>
    <row r="197" spans="1:3">
      <c r="A197" s="78">
        <v>41056</v>
      </c>
      <c r="B197" s="79" t="s">
        <v>131</v>
      </c>
      <c r="C197" s="80" t="s">
        <v>84</v>
      </c>
    </row>
    <row r="198" spans="1:3">
      <c r="A198" s="78">
        <v>41057</v>
      </c>
      <c r="B198" s="79" t="s">
        <v>132</v>
      </c>
      <c r="C198" s="80" t="s">
        <v>84</v>
      </c>
    </row>
    <row r="199" spans="1:3">
      <c r="A199" s="78">
        <v>41098</v>
      </c>
      <c r="B199" s="79" t="s">
        <v>133</v>
      </c>
      <c r="C199" s="80" t="s">
        <v>84</v>
      </c>
    </row>
    <row r="200" spans="1:3">
      <c r="A200" s="78">
        <v>41118</v>
      </c>
      <c r="B200" s="79" t="s">
        <v>134</v>
      </c>
      <c r="C200" s="80" t="s">
        <v>84</v>
      </c>
    </row>
    <row r="201" spans="1:3">
      <c r="A201" s="78">
        <v>41168</v>
      </c>
      <c r="B201" s="79" t="s">
        <v>135</v>
      </c>
      <c r="C201" s="80" t="s">
        <v>84</v>
      </c>
    </row>
    <row r="202" spans="1:3">
      <c r="A202" s="78">
        <v>41169</v>
      </c>
      <c r="B202" s="79" t="s">
        <v>83</v>
      </c>
      <c r="C202" s="80" t="s">
        <v>84</v>
      </c>
    </row>
    <row r="203" spans="1:3">
      <c r="A203" s="78">
        <v>41170</v>
      </c>
      <c r="B203" s="79" t="s">
        <v>85</v>
      </c>
      <c r="C203" s="80" t="s">
        <v>84</v>
      </c>
    </row>
    <row r="204" spans="1:3">
      <c r="A204" s="78">
        <v>41171</v>
      </c>
      <c r="B204" s="79" t="s">
        <v>86</v>
      </c>
      <c r="C204" s="80" t="s">
        <v>84</v>
      </c>
    </row>
    <row r="205" spans="1:3">
      <c r="A205" s="78">
        <v>41177</v>
      </c>
      <c r="B205" s="79" t="s">
        <v>87</v>
      </c>
      <c r="C205" s="80" t="s">
        <v>84</v>
      </c>
    </row>
    <row r="206" spans="1:3">
      <c r="A206" s="78">
        <v>41178</v>
      </c>
      <c r="B206" s="79" t="s">
        <v>88</v>
      </c>
      <c r="C206" s="80" t="s">
        <v>84</v>
      </c>
    </row>
    <row r="207" spans="1:3">
      <c r="A207" s="78">
        <v>41182</v>
      </c>
      <c r="B207" s="79" t="s">
        <v>89</v>
      </c>
      <c r="C207" s="80" t="s">
        <v>84</v>
      </c>
    </row>
    <row r="208" spans="1:3">
      <c r="A208" s="78">
        <v>41183</v>
      </c>
      <c r="B208" s="79" t="s">
        <v>90</v>
      </c>
      <c r="C208" s="80" t="s">
        <v>84</v>
      </c>
    </row>
    <row r="209" spans="1:3">
      <c r="A209" s="78">
        <v>41184</v>
      </c>
      <c r="B209" s="79" t="s">
        <v>91</v>
      </c>
      <c r="C209" s="80" t="s">
        <v>84</v>
      </c>
    </row>
    <row r="210" spans="1:3">
      <c r="A210" s="78">
        <v>41185</v>
      </c>
      <c r="B210" s="79" t="s">
        <v>92</v>
      </c>
      <c r="C210" s="80" t="s">
        <v>84</v>
      </c>
    </row>
    <row r="211" spans="1:3">
      <c r="A211" s="78">
        <v>41186</v>
      </c>
      <c r="B211" s="79" t="s">
        <v>93</v>
      </c>
      <c r="C211" s="80" t="s">
        <v>84</v>
      </c>
    </row>
    <row r="212" spans="1:3">
      <c r="A212" s="78">
        <v>41187</v>
      </c>
      <c r="B212" s="79" t="s">
        <v>94</v>
      </c>
      <c r="C212" s="80" t="s">
        <v>84</v>
      </c>
    </row>
    <row r="213" spans="1:3">
      <c r="A213" s="78">
        <v>41188</v>
      </c>
      <c r="B213" s="79" t="s">
        <v>95</v>
      </c>
      <c r="C213" s="80" t="s">
        <v>84</v>
      </c>
    </row>
    <row r="214" spans="1:3">
      <c r="A214" s="78">
        <v>41189</v>
      </c>
      <c r="B214" s="79" t="s">
        <v>96</v>
      </c>
      <c r="C214" s="80" t="s">
        <v>84</v>
      </c>
    </row>
    <row r="215" spans="1:3">
      <c r="A215" s="78">
        <v>41190</v>
      </c>
      <c r="B215" s="79" t="s">
        <v>97</v>
      </c>
      <c r="C215" s="80" t="s">
        <v>84</v>
      </c>
    </row>
    <row r="216" spans="1:3">
      <c r="A216" s="78">
        <v>41191</v>
      </c>
      <c r="B216" s="79" t="s">
        <v>98</v>
      </c>
      <c r="C216" s="80" t="s">
        <v>84</v>
      </c>
    </row>
    <row r="217" spans="1:3">
      <c r="A217" s="78">
        <v>41210</v>
      </c>
      <c r="B217" s="79" t="s">
        <v>99</v>
      </c>
      <c r="C217" s="80" t="s">
        <v>100</v>
      </c>
    </row>
    <row r="218" spans="1:3">
      <c r="A218" s="78">
        <v>41252</v>
      </c>
      <c r="B218" s="79" t="s">
        <v>101</v>
      </c>
      <c r="C218" s="80" t="s">
        <v>84</v>
      </c>
    </row>
    <row r="219" spans="1:3">
      <c r="A219" s="78">
        <v>41253</v>
      </c>
      <c r="B219" s="79" t="s">
        <v>102</v>
      </c>
      <c r="C219" s="80" t="s">
        <v>84</v>
      </c>
    </row>
    <row r="220" spans="1:3">
      <c r="A220" s="78">
        <v>41254</v>
      </c>
      <c r="B220" s="79" t="s">
        <v>103</v>
      </c>
      <c r="C220" s="80" t="s">
        <v>84</v>
      </c>
    </row>
    <row r="221" spans="1:3">
      <c r="A221" s="78">
        <v>41255</v>
      </c>
      <c r="B221" s="79" t="s">
        <v>104</v>
      </c>
      <c r="C221" s="80" t="s">
        <v>84</v>
      </c>
    </row>
    <row r="222" spans="1:3">
      <c r="A222" s="78">
        <v>41256</v>
      </c>
      <c r="B222" s="79" t="s">
        <v>105</v>
      </c>
      <c r="C222" s="80" t="s">
        <v>84</v>
      </c>
    </row>
    <row r="223" spans="1:3">
      <c r="A223" s="78">
        <v>41257</v>
      </c>
      <c r="B223" s="79" t="s">
        <v>106</v>
      </c>
      <c r="C223" s="80" t="s">
        <v>84</v>
      </c>
    </row>
    <row r="224" spans="1:3">
      <c r="A224" s="78">
        <v>41258</v>
      </c>
      <c r="B224" s="79" t="s">
        <v>107</v>
      </c>
      <c r="C224" s="80" t="s">
        <v>84</v>
      </c>
    </row>
    <row r="225" spans="1:3">
      <c r="A225" s="78">
        <v>41259</v>
      </c>
      <c r="B225" s="79" t="s">
        <v>108</v>
      </c>
      <c r="C225" s="80" t="s">
        <v>84</v>
      </c>
    </row>
    <row r="226" spans="1:3">
      <c r="A226" s="78">
        <v>41266</v>
      </c>
      <c r="B226" s="79" t="s">
        <v>109</v>
      </c>
      <c r="C226" s="80" t="s">
        <v>84</v>
      </c>
    </row>
    <row r="227" spans="1:3">
      <c r="A227" s="78">
        <v>41296</v>
      </c>
      <c r="B227" s="79" t="s">
        <v>137</v>
      </c>
      <c r="C227" s="80" t="s">
        <v>138</v>
      </c>
    </row>
    <row r="228" spans="1:3">
      <c r="A228" s="78">
        <v>41300</v>
      </c>
      <c r="B228" s="79" t="s">
        <v>112</v>
      </c>
      <c r="C228" s="80" t="s">
        <v>84</v>
      </c>
    </row>
    <row r="229" spans="1:3">
      <c r="A229" s="78">
        <v>41301</v>
      </c>
      <c r="B229" s="79" t="s">
        <v>110</v>
      </c>
      <c r="C229" s="80" t="s">
        <v>111</v>
      </c>
    </row>
    <row r="230" spans="1:3">
      <c r="A230" s="78">
        <v>41326</v>
      </c>
      <c r="B230" s="79" t="s">
        <v>113</v>
      </c>
      <c r="C230" s="80" t="s">
        <v>84</v>
      </c>
    </row>
    <row r="231" spans="1:3">
      <c r="A231" s="78">
        <v>41329</v>
      </c>
      <c r="B231" s="79" t="s">
        <v>114</v>
      </c>
      <c r="C231" s="80" t="s">
        <v>84</v>
      </c>
    </row>
    <row r="232" spans="1:3">
      <c r="A232" s="78">
        <v>41330</v>
      </c>
      <c r="B232" s="79" t="s">
        <v>115</v>
      </c>
      <c r="C232" s="80" t="s">
        <v>84</v>
      </c>
    </row>
    <row r="233" spans="1:3">
      <c r="A233" s="78">
        <v>41358</v>
      </c>
      <c r="B233" s="79" t="s">
        <v>116</v>
      </c>
      <c r="C233" s="80" t="s">
        <v>84</v>
      </c>
    </row>
    <row r="234" spans="1:3">
      <c r="A234" s="78">
        <v>41359</v>
      </c>
      <c r="B234" s="79" t="s">
        <v>117</v>
      </c>
      <c r="C234" s="80" t="s">
        <v>84</v>
      </c>
    </row>
    <row r="235" spans="1:3">
      <c r="A235" s="78">
        <v>41360</v>
      </c>
      <c r="B235" s="79" t="s">
        <v>118</v>
      </c>
      <c r="C235" s="80" t="s">
        <v>84</v>
      </c>
    </row>
    <row r="236" spans="1:3">
      <c r="A236" s="78">
        <v>41361</v>
      </c>
      <c r="B236" s="79" t="s">
        <v>119</v>
      </c>
      <c r="C236" s="80" t="s">
        <v>84</v>
      </c>
    </row>
    <row r="237" spans="1:3">
      <c r="A237" s="78">
        <v>41362</v>
      </c>
      <c r="B237" s="79" t="s">
        <v>120</v>
      </c>
      <c r="C237" s="80" t="s">
        <v>84</v>
      </c>
    </row>
    <row r="238" spans="1:3">
      <c r="A238" s="78">
        <v>41363</v>
      </c>
      <c r="B238" s="79" t="s">
        <v>121</v>
      </c>
      <c r="C238" s="80" t="s">
        <v>84</v>
      </c>
    </row>
    <row r="239" spans="1:3">
      <c r="A239" s="78">
        <v>41364</v>
      </c>
      <c r="B239" s="79" t="s">
        <v>122</v>
      </c>
      <c r="C239" s="80" t="s">
        <v>84</v>
      </c>
    </row>
    <row r="240" spans="1:3">
      <c r="A240" s="78">
        <v>41365</v>
      </c>
      <c r="B240" s="79" t="s">
        <v>123</v>
      </c>
      <c r="C240" s="80" t="s">
        <v>84</v>
      </c>
    </row>
    <row r="241" spans="1:3">
      <c r="A241" s="78">
        <v>41366</v>
      </c>
      <c r="B241" s="79" t="s">
        <v>124</v>
      </c>
      <c r="C241" s="80" t="s">
        <v>84</v>
      </c>
    </row>
    <row r="242" spans="1:3">
      <c r="A242" s="78">
        <v>41372</v>
      </c>
      <c r="B242" s="79" t="s">
        <v>125</v>
      </c>
      <c r="C242" s="80" t="s">
        <v>100</v>
      </c>
    </row>
    <row r="243" spans="1:3">
      <c r="A243" s="78">
        <v>41379</v>
      </c>
      <c r="B243" s="79" t="s">
        <v>126</v>
      </c>
      <c r="C243" s="80" t="s">
        <v>100</v>
      </c>
    </row>
    <row r="244" spans="1:3">
      <c r="A244" s="78">
        <v>41380</v>
      </c>
      <c r="B244" s="79" t="s">
        <v>127</v>
      </c>
      <c r="C244" s="80" t="s">
        <v>100</v>
      </c>
    </row>
    <row r="245" spans="1:3">
      <c r="A245" s="78">
        <v>41392</v>
      </c>
      <c r="B245" s="79" t="s">
        <v>128</v>
      </c>
      <c r="C245" s="80" t="s">
        <v>84</v>
      </c>
    </row>
    <row r="246" spans="1:3">
      <c r="A246" s="78">
        <v>41402</v>
      </c>
      <c r="B246" s="79" t="s">
        <v>129</v>
      </c>
      <c r="C246" s="80" t="s">
        <v>100</v>
      </c>
    </row>
    <row r="247" spans="1:3">
      <c r="A247" s="78">
        <v>41408</v>
      </c>
      <c r="B247" s="79" t="s">
        <v>130</v>
      </c>
      <c r="C247" s="80" t="s">
        <v>84</v>
      </c>
    </row>
    <row r="248" spans="1:3">
      <c r="A248" s="78">
        <v>41409</v>
      </c>
      <c r="B248" s="79" t="s">
        <v>131</v>
      </c>
      <c r="C248" s="80" t="s">
        <v>84</v>
      </c>
    </row>
    <row r="249" spans="1:3">
      <c r="A249" s="78">
        <v>41410</v>
      </c>
      <c r="B249" s="79" t="s">
        <v>132</v>
      </c>
      <c r="C249" s="80" t="s">
        <v>84</v>
      </c>
    </row>
    <row r="250" spans="1:3">
      <c r="A250" s="78">
        <v>41450</v>
      </c>
      <c r="B250" s="79" t="s">
        <v>133</v>
      </c>
      <c r="C250" s="80" t="s">
        <v>84</v>
      </c>
    </row>
    <row r="251" spans="1:3">
      <c r="A251" s="78">
        <v>41471</v>
      </c>
      <c r="B251" s="79" t="s">
        <v>134</v>
      </c>
      <c r="C251" s="80" t="s">
        <v>84</v>
      </c>
    </row>
    <row r="252" spans="1:3">
      <c r="A252" s="78">
        <v>41521</v>
      </c>
      <c r="B252" s="79" t="s">
        <v>135</v>
      </c>
      <c r="C252" s="80" t="s">
        <v>84</v>
      </c>
    </row>
    <row r="253" spans="1:3">
      <c r="A253" s="78">
        <v>41522</v>
      </c>
      <c r="B253" s="79" t="s">
        <v>83</v>
      </c>
      <c r="C253" s="80" t="s">
        <v>84</v>
      </c>
    </row>
    <row r="254" spans="1:3">
      <c r="A254" s="78">
        <v>41523</v>
      </c>
      <c r="B254" s="79" t="s">
        <v>85</v>
      </c>
      <c r="C254" s="80" t="s">
        <v>84</v>
      </c>
    </row>
    <row r="255" spans="1:3">
      <c r="A255" s="78">
        <v>41525</v>
      </c>
      <c r="B255" s="79" t="s">
        <v>86</v>
      </c>
      <c r="C255" s="80" t="s">
        <v>84</v>
      </c>
    </row>
    <row r="256" spans="1:3">
      <c r="A256" s="78">
        <v>41530</v>
      </c>
      <c r="B256" s="79" t="s">
        <v>87</v>
      </c>
      <c r="C256" s="80" t="s">
        <v>84</v>
      </c>
    </row>
    <row r="257" spans="1:3">
      <c r="A257" s="78">
        <v>41531</v>
      </c>
      <c r="B257" s="79" t="s">
        <v>88</v>
      </c>
      <c r="C257" s="80" t="s">
        <v>84</v>
      </c>
    </row>
    <row r="258" spans="1:3">
      <c r="A258" s="78">
        <v>41535</v>
      </c>
      <c r="B258" s="79" t="s">
        <v>89</v>
      </c>
      <c r="C258" s="80" t="s">
        <v>84</v>
      </c>
    </row>
    <row r="259" spans="1:3">
      <c r="A259" s="78">
        <v>41536</v>
      </c>
      <c r="B259" s="79" t="s">
        <v>90</v>
      </c>
      <c r="C259" s="80" t="s">
        <v>84</v>
      </c>
    </row>
    <row r="260" spans="1:3">
      <c r="A260" s="78">
        <v>41537</v>
      </c>
      <c r="B260" s="79" t="s">
        <v>91</v>
      </c>
      <c r="C260" s="80" t="s">
        <v>84</v>
      </c>
    </row>
    <row r="261" spans="1:3">
      <c r="A261" s="78">
        <v>41538</v>
      </c>
      <c r="B261" s="79" t="s">
        <v>92</v>
      </c>
      <c r="C261" s="80" t="s">
        <v>84</v>
      </c>
    </row>
    <row r="262" spans="1:3">
      <c r="A262" s="78">
        <v>41539</v>
      </c>
      <c r="B262" s="79" t="s">
        <v>93</v>
      </c>
      <c r="C262" s="80" t="s">
        <v>84</v>
      </c>
    </row>
    <row r="263" spans="1:3">
      <c r="A263" s="78">
        <v>41540</v>
      </c>
      <c r="B263" s="79" t="s">
        <v>94</v>
      </c>
      <c r="C263" s="80" t="s">
        <v>84</v>
      </c>
    </row>
    <row r="264" spans="1:3">
      <c r="A264" s="78">
        <v>41541</v>
      </c>
      <c r="B264" s="79" t="s">
        <v>95</v>
      </c>
      <c r="C264" s="80" t="s">
        <v>84</v>
      </c>
    </row>
    <row r="265" spans="1:3">
      <c r="A265" s="78">
        <v>41542</v>
      </c>
      <c r="B265" s="79" t="s">
        <v>96</v>
      </c>
      <c r="C265" s="80" t="s">
        <v>84</v>
      </c>
    </row>
    <row r="266" spans="1:3">
      <c r="A266" s="78">
        <v>41543</v>
      </c>
      <c r="B266" s="79" t="s">
        <v>97</v>
      </c>
      <c r="C266" s="80" t="s">
        <v>84</v>
      </c>
    </row>
    <row r="267" spans="1:3">
      <c r="A267" s="78">
        <v>41544</v>
      </c>
      <c r="B267" s="79" t="s">
        <v>98</v>
      </c>
      <c r="C267" s="80" t="s">
        <v>84</v>
      </c>
    </row>
    <row r="268" spans="1:3">
      <c r="A268" s="78">
        <v>41563</v>
      </c>
      <c r="B268" s="79" t="s">
        <v>99</v>
      </c>
      <c r="C268" s="80" t="s">
        <v>100</v>
      </c>
    </row>
    <row r="269" spans="1:3">
      <c r="A269" s="78">
        <v>41606</v>
      </c>
      <c r="B269" s="79" t="s">
        <v>101</v>
      </c>
      <c r="C269" s="80" t="s">
        <v>84</v>
      </c>
    </row>
    <row r="270" spans="1:3">
      <c r="A270" s="78">
        <v>41607</v>
      </c>
      <c r="B270" s="79" t="s">
        <v>102</v>
      </c>
      <c r="C270" s="80" t="s">
        <v>84</v>
      </c>
    </row>
    <row r="271" spans="1:3">
      <c r="A271" s="78">
        <v>41608</v>
      </c>
      <c r="B271" s="79" t="s">
        <v>103</v>
      </c>
      <c r="C271" s="80" t="s">
        <v>84</v>
      </c>
    </row>
    <row r="272" spans="1:3">
      <c r="A272" s="78">
        <v>41609</v>
      </c>
      <c r="B272" s="79" t="s">
        <v>104</v>
      </c>
      <c r="C272" s="80" t="s">
        <v>84</v>
      </c>
    </row>
    <row r="273" spans="1:3">
      <c r="A273" s="78">
        <v>41610</v>
      </c>
      <c r="B273" s="79" t="s">
        <v>105</v>
      </c>
      <c r="C273" s="80" t="s">
        <v>84</v>
      </c>
    </row>
    <row r="274" spans="1:3">
      <c r="A274" s="78">
        <v>41611</v>
      </c>
      <c r="B274" s="79" t="s">
        <v>106</v>
      </c>
      <c r="C274" s="80" t="s">
        <v>84</v>
      </c>
    </row>
    <row r="275" spans="1:3">
      <c r="A275" s="78">
        <v>41612</v>
      </c>
      <c r="B275" s="79" t="s">
        <v>107</v>
      </c>
      <c r="C275" s="80" t="s">
        <v>84</v>
      </c>
    </row>
    <row r="276" spans="1:3">
      <c r="A276" s="78">
        <v>41613</v>
      </c>
      <c r="B276" s="79" t="s">
        <v>108</v>
      </c>
      <c r="C276" s="80" t="s">
        <v>84</v>
      </c>
    </row>
    <row r="277" spans="1:3">
      <c r="A277" s="78">
        <v>41620</v>
      </c>
      <c r="B277" s="79" t="s">
        <v>109</v>
      </c>
      <c r="C277" s="80" t="s">
        <v>84</v>
      </c>
    </row>
    <row r="278" spans="1:3">
      <c r="A278" s="78">
        <v>41655</v>
      </c>
      <c r="B278" s="79" t="s">
        <v>112</v>
      </c>
      <c r="C278" s="80" t="s">
        <v>84</v>
      </c>
    </row>
    <row r="279" spans="1:3">
      <c r="A279" s="78">
        <v>41666</v>
      </c>
      <c r="B279" s="79" t="s">
        <v>110</v>
      </c>
      <c r="C279" s="80" t="s">
        <v>111</v>
      </c>
    </row>
    <row r="280" spans="1:3">
      <c r="A280" s="78">
        <v>41711</v>
      </c>
      <c r="B280" s="79" t="s">
        <v>113</v>
      </c>
      <c r="C280" s="80" t="s">
        <v>84</v>
      </c>
    </row>
    <row r="281" spans="1:3">
      <c r="A281" s="78">
        <v>41714</v>
      </c>
      <c r="B281" s="79" t="s">
        <v>136</v>
      </c>
      <c r="C281" s="80" t="s">
        <v>84</v>
      </c>
    </row>
    <row r="282" spans="1:3">
      <c r="A282" s="78">
        <v>41715</v>
      </c>
      <c r="B282" s="79" t="s">
        <v>115</v>
      </c>
      <c r="C282" s="80" t="s">
        <v>84</v>
      </c>
    </row>
    <row r="283" spans="1:3">
      <c r="A283" s="78">
        <v>41743</v>
      </c>
      <c r="B283" s="79" t="s">
        <v>116</v>
      </c>
      <c r="C283" s="80" t="s">
        <v>84</v>
      </c>
    </row>
    <row r="284" spans="1:3">
      <c r="A284" s="78">
        <v>41744</v>
      </c>
      <c r="B284" s="79" t="s">
        <v>117</v>
      </c>
      <c r="C284" s="80" t="s">
        <v>84</v>
      </c>
    </row>
    <row r="285" spans="1:3">
      <c r="A285" s="78">
        <v>41745</v>
      </c>
      <c r="B285" s="79" t="s">
        <v>118</v>
      </c>
      <c r="C285" s="80" t="s">
        <v>84</v>
      </c>
    </row>
    <row r="286" spans="1:3">
      <c r="A286" s="78">
        <v>41746</v>
      </c>
      <c r="B286" s="79" t="s">
        <v>119</v>
      </c>
      <c r="C286" s="80" t="s">
        <v>84</v>
      </c>
    </row>
    <row r="287" spans="1:3">
      <c r="A287" s="78">
        <v>41747</v>
      </c>
      <c r="B287" s="79" t="s">
        <v>120</v>
      </c>
      <c r="C287" s="80" t="s">
        <v>84</v>
      </c>
    </row>
    <row r="288" spans="1:3">
      <c r="A288" s="78">
        <v>41748</v>
      </c>
      <c r="B288" s="79" t="s">
        <v>121</v>
      </c>
      <c r="C288" s="80" t="s">
        <v>84</v>
      </c>
    </row>
    <row r="289" spans="1:3">
      <c r="A289" s="78">
        <v>41749</v>
      </c>
      <c r="B289" s="79" t="s">
        <v>122</v>
      </c>
      <c r="C289" s="80" t="s">
        <v>84</v>
      </c>
    </row>
    <row r="290" spans="1:3">
      <c r="A290" s="78">
        <v>41750</v>
      </c>
      <c r="B290" s="79" t="s">
        <v>123</v>
      </c>
      <c r="C290" s="80" t="s">
        <v>84</v>
      </c>
    </row>
    <row r="291" spans="1:3">
      <c r="A291" s="78">
        <v>41751</v>
      </c>
      <c r="B291" s="79" t="s">
        <v>124</v>
      </c>
      <c r="C291" s="80" t="s">
        <v>84</v>
      </c>
    </row>
    <row r="292" spans="1:3">
      <c r="A292" s="78">
        <v>41756</v>
      </c>
      <c r="B292" s="79" t="s">
        <v>125</v>
      </c>
      <c r="C292" s="80" t="s">
        <v>100</v>
      </c>
    </row>
    <row r="293" spans="1:3">
      <c r="A293" s="78">
        <v>41764</v>
      </c>
      <c r="B293" s="79" t="s">
        <v>126</v>
      </c>
      <c r="C293" s="80" t="s">
        <v>100</v>
      </c>
    </row>
    <row r="294" spans="1:3">
      <c r="A294" s="78">
        <v>41765</v>
      </c>
      <c r="B294" s="79" t="s">
        <v>127</v>
      </c>
      <c r="C294" s="80" t="s">
        <v>100</v>
      </c>
    </row>
    <row r="295" spans="1:3">
      <c r="A295" s="78">
        <v>41777</v>
      </c>
      <c r="B295" s="79" t="s">
        <v>128</v>
      </c>
      <c r="C295" s="80" t="s">
        <v>84</v>
      </c>
    </row>
    <row r="296" spans="1:3">
      <c r="A296" s="78">
        <v>41787</v>
      </c>
      <c r="B296" s="79" t="s">
        <v>129</v>
      </c>
      <c r="C296" s="80" t="s">
        <v>100</v>
      </c>
    </row>
    <row r="297" spans="1:3">
      <c r="A297" s="78">
        <v>41793</v>
      </c>
      <c r="B297" s="79" t="s">
        <v>130</v>
      </c>
      <c r="C297" s="80" t="s">
        <v>84</v>
      </c>
    </row>
    <row r="298" spans="1:3">
      <c r="A298" s="78">
        <v>41794</v>
      </c>
      <c r="B298" s="79" t="s">
        <v>131</v>
      </c>
      <c r="C298" s="80" t="s">
        <v>84</v>
      </c>
    </row>
    <row r="299" spans="1:3">
      <c r="A299" s="78">
        <v>41795</v>
      </c>
      <c r="B299" s="79" t="s">
        <v>132</v>
      </c>
      <c r="C299" s="80" t="s">
        <v>84</v>
      </c>
    </row>
    <row r="300" spans="1:3">
      <c r="A300" s="78">
        <v>41835</v>
      </c>
      <c r="B300" s="79" t="s">
        <v>133</v>
      </c>
      <c r="C300" s="80" t="s">
        <v>84</v>
      </c>
    </row>
    <row r="301" spans="1:3">
      <c r="A301" s="78">
        <v>41856</v>
      </c>
      <c r="B301" s="79" t="s">
        <v>134</v>
      </c>
      <c r="C301" s="80" t="s">
        <v>84</v>
      </c>
    </row>
    <row r="302" spans="1:3">
      <c r="A302" s="78">
        <v>41906</v>
      </c>
      <c r="B302" s="79" t="s">
        <v>135</v>
      </c>
      <c r="C302" s="80" t="s">
        <v>84</v>
      </c>
    </row>
    <row r="303" spans="1:3">
      <c r="A303" s="78">
        <v>41907</v>
      </c>
      <c r="B303" s="79" t="s">
        <v>83</v>
      </c>
      <c r="C303" s="80" t="s">
        <v>84</v>
      </c>
    </row>
    <row r="304" spans="1:3">
      <c r="A304" s="78">
        <v>41908</v>
      </c>
      <c r="B304" s="79" t="s">
        <v>85</v>
      </c>
      <c r="C304" s="80" t="s">
        <v>84</v>
      </c>
    </row>
    <row r="305" spans="1:3">
      <c r="A305" s="78">
        <v>41910</v>
      </c>
      <c r="B305" s="79" t="s">
        <v>86</v>
      </c>
      <c r="C305" s="80" t="s">
        <v>84</v>
      </c>
    </row>
    <row r="306" spans="1:3">
      <c r="A306" s="78">
        <v>41915</v>
      </c>
      <c r="B306" s="79" t="s">
        <v>87</v>
      </c>
      <c r="C306" s="80" t="s">
        <v>84</v>
      </c>
    </row>
    <row r="307" spans="1:3">
      <c r="A307" s="78">
        <v>41916</v>
      </c>
      <c r="B307" s="79" t="s">
        <v>88</v>
      </c>
      <c r="C307" s="80" t="s">
        <v>84</v>
      </c>
    </row>
    <row r="308" spans="1:3">
      <c r="A308" s="78">
        <v>41920</v>
      </c>
      <c r="B308" s="79" t="s">
        <v>89</v>
      </c>
      <c r="C308" s="80" t="s">
        <v>84</v>
      </c>
    </row>
    <row r="309" spans="1:3">
      <c r="A309" s="78">
        <v>41921</v>
      </c>
      <c r="B309" s="79" t="s">
        <v>90</v>
      </c>
      <c r="C309" s="80" t="s">
        <v>84</v>
      </c>
    </row>
    <row r="310" spans="1:3">
      <c r="A310" s="78">
        <v>41922</v>
      </c>
      <c r="B310" s="79" t="s">
        <v>91</v>
      </c>
      <c r="C310" s="80" t="s">
        <v>84</v>
      </c>
    </row>
    <row r="311" spans="1:3">
      <c r="A311" s="78">
        <v>41923</v>
      </c>
      <c r="B311" s="79" t="s">
        <v>92</v>
      </c>
      <c r="C311" s="80" t="s">
        <v>84</v>
      </c>
    </row>
    <row r="312" spans="1:3">
      <c r="A312" s="78">
        <v>41924</v>
      </c>
      <c r="B312" s="79" t="s">
        <v>93</v>
      </c>
      <c r="C312" s="80" t="s">
        <v>84</v>
      </c>
    </row>
    <row r="313" spans="1:3">
      <c r="A313" s="78">
        <v>41925</v>
      </c>
      <c r="B313" s="79" t="s">
        <v>94</v>
      </c>
      <c r="C313" s="80" t="s">
        <v>84</v>
      </c>
    </row>
    <row r="314" spans="1:3">
      <c r="A314" s="78">
        <v>41926</v>
      </c>
      <c r="B314" s="79" t="s">
        <v>95</v>
      </c>
      <c r="C314" s="80" t="s">
        <v>84</v>
      </c>
    </row>
    <row r="315" spans="1:3">
      <c r="A315" s="78">
        <v>41927</v>
      </c>
      <c r="B315" s="79" t="s">
        <v>96</v>
      </c>
      <c r="C315" s="80" t="s">
        <v>84</v>
      </c>
    </row>
    <row r="316" spans="1:3">
      <c r="A316" s="78">
        <v>41928</v>
      </c>
      <c r="B316" s="79" t="s">
        <v>97</v>
      </c>
      <c r="C316" s="80" t="s">
        <v>84</v>
      </c>
    </row>
    <row r="317" spans="1:3">
      <c r="A317" s="78">
        <v>41929</v>
      </c>
      <c r="B317" s="79" t="s">
        <v>98</v>
      </c>
      <c r="C317" s="80" t="s">
        <v>84</v>
      </c>
    </row>
    <row r="318" spans="1:3">
      <c r="A318" s="78">
        <v>41948</v>
      </c>
      <c r="B318" s="79" t="s">
        <v>99</v>
      </c>
      <c r="C318" s="80" t="s">
        <v>100</v>
      </c>
    </row>
    <row r="319" spans="1:3">
      <c r="A319" s="78">
        <v>41990</v>
      </c>
      <c r="B319" s="79" t="s">
        <v>101</v>
      </c>
      <c r="C319" s="80" t="s">
        <v>84</v>
      </c>
    </row>
    <row r="320" spans="1:3">
      <c r="A320" s="78">
        <v>41991</v>
      </c>
      <c r="B320" s="79" t="s">
        <v>102</v>
      </c>
      <c r="C320" s="80" t="s">
        <v>84</v>
      </c>
    </row>
    <row r="321" spans="1:3">
      <c r="A321" s="78">
        <v>41992</v>
      </c>
      <c r="B321" s="79" t="s">
        <v>103</v>
      </c>
      <c r="C321" s="80" t="s">
        <v>84</v>
      </c>
    </row>
    <row r="322" spans="1:3">
      <c r="A322" s="78">
        <v>41993</v>
      </c>
      <c r="B322" s="79" t="s">
        <v>104</v>
      </c>
      <c r="C322" s="80" t="s">
        <v>84</v>
      </c>
    </row>
    <row r="323" spans="1:3">
      <c r="A323" s="78">
        <v>41994</v>
      </c>
      <c r="B323" s="79" t="s">
        <v>105</v>
      </c>
      <c r="C323" s="80" t="s">
        <v>84</v>
      </c>
    </row>
    <row r="324" spans="1:3">
      <c r="A324" s="78">
        <v>41995</v>
      </c>
      <c r="B324" s="79" t="s">
        <v>106</v>
      </c>
      <c r="C324" s="80" t="s">
        <v>84</v>
      </c>
    </row>
    <row r="325" spans="1:3">
      <c r="A325" s="78">
        <v>41996</v>
      </c>
      <c r="B325" s="79" t="s">
        <v>107</v>
      </c>
      <c r="C325" s="80" t="s">
        <v>84</v>
      </c>
    </row>
    <row r="326" spans="1:3">
      <c r="A326" s="78">
        <v>41997</v>
      </c>
      <c r="B326" s="79" t="s">
        <v>108</v>
      </c>
      <c r="C326" s="80" t="s">
        <v>84</v>
      </c>
    </row>
    <row r="327" spans="1:3">
      <c r="A327" s="78">
        <v>42005</v>
      </c>
      <c r="B327" s="79" t="s">
        <v>109</v>
      </c>
      <c r="C327" s="80" t="s">
        <v>84</v>
      </c>
    </row>
    <row r="328" spans="1:3">
      <c r="A328" s="78">
        <v>42031</v>
      </c>
      <c r="B328" s="79" t="s">
        <v>110</v>
      </c>
      <c r="C328" s="80" t="s">
        <v>111</v>
      </c>
    </row>
    <row r="329" spans="1:3">
      <c r="A329" s="78">
        <v>42039</v>
      </c>
      <c r="B329" s="79" t="s">
        <v>112</v>
      </c>
      <c r="C329" s="80" t="s">
        <v>84</v>
      </c>
    </row>
    <row r="330" spans="1:3">
      <c r="A330" s="78">
        <v>42067</v>
      </c>
      <c r="B330" s="79" t="s">
        <v>113</v>
      </c>
      <c r="C330" s="80" t="s">
        <v>84</v>
      </c>
    </row>
    <row r="331" spans="1:3">
      <c r="A331" s="78">
        <v>42068</v>
      </c>
      <c r="B331" s="79" t="s">
        <v>114</v>
      </c>
      <c r="C331" s="80" t="s">
        <v>84</v>
      </c>
    </row>
    <row r="332" spans="1:3">
      <c r="A332" s="78">
        <v>42069</v>
      </c>
      <c r="B332" s="79" t="s">
        <v>115</v>
      </c>
      <c r="C332" s="80" t="s">
        <v>84</v>
      </c>
    </row>
    <row r="333" spans="1:3">
      <c r="A333" s="78">
        <v>42097</v>
      </c>
      <c r="B333" s="79" t="s">
        <v>116</v>
      </c>
      <c r="C333" s="80" t="s">
        <v>84</v>
      </c>
    </row>
    <row r="334" spans="1:3">
      <c r="A334" s="78">
        <v>42098</v>
      </c>
      <c r="B334" s="79" t="s">
        <v>117</v>
      </c>
      <c r="C334" s="80" t="s">
        <v>84</v>
      </c>
    </row>
    <row r="335" spans="1:3">
      <c r="A335" s="78">
        <v>42099</v>
      </c>
      <c r="B335" s="79" t="s">
        <v>118</v>
      </c>
      <c r="C335" s="80" t="s">
        <v>84</v>
      </c>
    </row>
    <row r="336" spans="1:3">
      <c r="A336" s="78">
        <v>42100</v>
      </c>
      <c r="B336" s="79" t="s">
        <v>119</v>
      </c>
      <c r="C336" s="80" t="s">
        <v>84</v>
      </c>
    </row>
    <row r="337" spans="1:3">
      <c r="A337" s="78">
        <v>42101</v>
      </c>
      <c r="B337" s="79" t="s">
        <v>120</v>
      </c>
      <c r="C337" s="80" t="s">
        <v>84</v>
      </c>
    </row>
    <row r="338" spans="1:3">
      <c r="A338" s="78">
        <v>42102</v>
      </c>
      <c r="B338" s="79" t="s">
        <v>121</v>
      </c>
      <c r="C338" s="80" t="s">
        <v>84</v>
      </c>
    </row>
    <row r="339" spans="1:3">
      <c r="A339" s="78">
        <v>42103</v>
      </c>
      <c r="B339" s="79" t="s">
        <v>122</v>
      </c>
      <c r="C339" s="80" t="s">
        <v>84</v>
      </c>
    </row>
    <row r="340" spans="1:3">
      <c r="A340" s="78">
        <v>42104</v>
      </c>
      <c r="B340" s="79" t="s">
        <v>123</v>
      </c>
      <c r="C340" s="80" t="s">
        <v>84</v>
      </c>
    </row>
    <row r="341" spans="1:3">
      <c r="A341" s="78">
        <v>42105</v>
      </c>
      <c r="B341" s="79" t="s">
        <v>124</v>
      </c>
      <c r="C341" s="80" t="s">
        <v>84</v>
      </c>
    </row>
    <row r="342" spans="1:3">
      <c r="A342" s="78">
        <v>42110</v>
      </c>
      <c r="B342" s="79" t="s">
        <v>125</v>
      </c>
      <c r="C342" s="80" t="s">
        <v>100</v>
      </c>
    </row>
    <row r="343" spans="1:3">
      <c r="A343" s="78">
        <v>42116</v>
      </c>
      <c r="B343" s="79" t="s">
        <v>126</v>
      </c>
      <c r="C343" s="80" t="s">
        <v>100</v>
      </c>
    </row>
    <row r="344" spans="1:3">
      <c r="A344" s="78">
        <v>42117</v>
      </c>
      <c r="B344" s="79" t="s">
        <v>127</v>
      </c>
      <c r="C344" s="80" t="s">
        <v>100</v>
      </c>
    </row>
    <row r="345" spans="1:3">
      <c r="A345" s="78">
        <v>42131</v>
      </c>
      <c r="B345" s="79" t="s">
        <v>128</v>
      </c>
      <c r="C345" s="80" t="s">
        <v>84</v>
      </c>
    </row>
    <row r="346" spans="1:3">
      <c r="A346" s="78">
        <v>42141</v>
      </c>
      <c r="B346" s="79" t="s">
        <v>129</v>
      </c>
      <c r="C346" s="80" t="s">
        <v>100</v>
      </c>
    </row>
    <row r="347" spans="1:3">
      <c r="A347" s="78">
        <v>42147</v>
      </c>
      <c r="B347" s="79" t="s">
        <v>130</v>
      </c>
      <c r="C347" s="80" t="s">
        <v>84</v>
      </c>
    </row>
    <row r="348" spans="1:3">
      <c r="A348" s="78">
        <v>42148</v>
      </c>
      <c r="B348" s="79" t="s">
        <v>131</v>
      </c>
      <c r="C348" s="80" t="s">
        <v>84</v>
      </c>
    </row>
    <row r="349" spans="1:3">
      <c r="A349" s="78">
        <v>42149</v>
      </c>
      <c r="B349" s="79" t="s">
        <v>132</v>
      </c>
      <c r="C349" s="80" t="s">
        <v>84</v>
      </c>
    </row>
    <row r="350" spans="1:3">
      <c r="A350" s="78">
        <v>42187</v>
      </c>
      <c r="B350" s="79" t="s">
        <v>133</v>
      </c>
      <c r="C350" s="80" t="s">
        <v>84</v>
      </c>
    </row>
    <row r="351" spans="1:3">
      <c r="A351" s="78">
        <v>42208</v>
      </c>
      <c r="B351" s="79" t="s">
        <v>134</v>
      </c>
      <c r="C351" s="80" t="s">
        <v>84</v>
      </c>
    </row>
    <row r="352" spans="1:3">
      <c r="A352" s="78">
        <v>42260</v>
      </c>
      <c r="B352" s="79" t="s">
        <v>135</v>
      </c>
      <c r="C352" s="80" t="s">
        <v>84</v>
      </c>
    </row>
    <row r="353" spans="1:3">
      <c r="A353" s="78">
        <v>42261</v>
      </c>
      <c r="B353" s="79" t="s">
        <v>83</v>
      </c>
      <c r="C353" s="80" t="s">
        <v>84</v>
      </c>
    </row>
    <row r="354" spans="1:3">
      <c r="A354" s="78">
        <v>42262</v>
      </c>
      <c r="B354" s="79" t="s">
        <v>85</v>
      </c>
      <c r="C354" s="80" t="s">
        <v>84</v>
      </c>
    </row>
    <row r="355" spans="1:3">
      <c r="A355" s="78">
        <v>42263</v>
      </c>
      <c r="B355" s="79" t="s">
        <v>86</v>
      </c>
      <c r="C355" s="80" t="s">
        <v>84</v>
      </c>
    </row>
    <row r="356" spans="1:3">
      <c r="A356" s="78">
        <v>42269</v>
      </c>
      <c r="B356" s="79" t="s">
        <v>87</v>
      </c>
      <c r="C356" s="80" t="s">
        <v>84</v>
      </c>
    </row>
    <row r="357" spans="1:3">
      <c r="A357" s="78">
        <v>42270</v>
      </c>
      <c r="B357" s="79" t="s">
        <v>88</v>
      </c>
      <c r="C357" s="80" t="s">
        <v>84</v>
      </c>
    </row>
    <row r="358" spans="1:3">
      <c r="A358" s="78">
        <v>42274</v>
      </c>
      <c r="B358" s="79" t="s">
        <v>89</v>
      </c>
      <c r="C358" s="80" t="s">
        <v>84</v>
      </c>
    </row>
    <row r="359" spans="1:3">
      <c r="A359" s="78">
        <v>42275</v>
      </c>
      <c r="B359" s="79" t="s">
        <v>90</v>
      </c>
      <c r="C359" s="80" t="s">
        <v>84</v>
      </c>
    </row>
    <row r="360" spans="1:3">
      <c r="A360" s="78">
        <v>42276</v>
      </c>
      <c r="B360" s="79" t="s">
        <v>91</v>
      </c>
      <c r="C360" s="80" t="s">
        <v>84</v>
      </c>
    </row>
    <row r="361" spans="1:3">
      <c r="A361" s="78">
        <v>42277</v>
      </c>
      <c r="B361" s="79" t="s">
        <v>92</v>
      </c>
      <c r="C361" s="80" t="s">
        <v>84</v>
      </c>
    </row>
    <row r="362" spans="1:3">
      <c r="A362" s="78">
        <v>42278</v>
      </c>
      <c r="B362" s="79" t="s">
        <v>93</v>
      </c>
      <c r="C362" s="80" t="s">
        <v>84</v>
      </c>
    </row>
    <row r="363" spans="1:3">
      <c r="A363" s="78">
        <v>42279</v>
      </c>
      <c r="B363" s="79" t="s">
        <v>94</v>
      </c>
      <c r="C363" s="80" t="s">
        <v>84</v>
      </c>
    </row>
    <row r="364" spans="1:3">
      <c r="A364" s="78">
        <v>42280</v>
      </c>
      <c r="B364" s="79" t="s">
        <v>95</v>
      </c>
      <c r="C364" s="80" t="s">
        <v>84</v>
      </c>
    </row>
    <row r="365" spans="1:3">
      <c r="A365" s="78">
        <v>42281</v>
      </c>
      <c r="B365" s="79" t="s">
        <v>96</v>
      </c>
      <c r="C365" s="80" t="s">
        <v>84</v>
      </c>
    </row>
    <row r="366" spans="1:3">
      <c r="A366" s="78">
        <v>42282</v>
      </c>
      <c r="B366" s="79" t="s">
        <v>97</v>
      </c>
      <c r="C366" s="80" t="s">
        <v>84</v>
      </c>
    </row>
    <row r="367" spans="1:3">
      <c r="A367" s="78">
        <v>42283</v>
      </c>
      <c r="B367" s="79" t="s">
        <v>98</v>
      </c>
      <c r="C367" s="80" t="s">
        <v>84</v>
      </c>
    </row>
    <row r="368" spans="1:3">
      <c r="A368" s="78">
        <v>42302</v>
      </c>
      <c r="B368" s="79" t="s">
        <v>99</v>
      </c>
      <c r="C368" s="80" t="s">
        <v>100</v>
      </c>
    </row>
    <row r="369" spans="1:3">
      <c r="A369" s="78">
        <v>42345</v>
      </c>
      <c r="B369" s="79" t="s">
        <v>101</v>
      </c>
      <c r="C369" s="80" t="s">
        <v>84</v>
      </c>
    </row>
    <row r="370" spans="1:3">
      <c r="A370" s="78">
        <v>42346</v>
      </c>
      <c r="B370" s="79" t="s">
        <v>102</v>
      </c>
      <c r="C370" s="80" t="s">
        <v>84</v>
      </c>
    </row>
    <row r="371" spans="1:3">
      <c r="A371" s="78">
        <v>42347</v>
      </c>
      <c r="B371" s="79" t="s">
        <v>103</v>
      </c>
      <c r="C371" s="80" t="s">
        <v>84</v>
      </c>
    </row>
    <row r="372" spans="1:3">
      <c r="A372" s="78">
        <v>42348</v>
      </c>
      <c r="B372" s="79" t="s">
        <v>104</v>
      </c>
      <c r="C372" s="80" t="s">
        <v>84</v>
      </c>
    </row>
    <row r="373" spans="1:3">
      <c r="A373" s="78">
        <v>42349</v>
      </c>
      <c r="B373" s="79" t="s">
        <v>105</v>
      </c>
      <c r="C373" s="80" t="s">
        <v>84</v>
      </c>
    </row>
    <row r="374" spans="1:3">
      <c r="A374" s="78">
        <v>42350</v>
      </c>
      <c r="B374" s="79" t="s">
        <v>106</v>
      </c>
      <c r="C374" s="80" t="s">
        <v>84</v>
      </c>
    </row>
    <row r="375" spans="1:3">
      <c r="A375" s="78">
        <v>42351</v>
      </c>
      <c r="B375" s="79" t="s">
        <v>107</v>
      </c>
      <c r="C375" s="80" t="s">
        <v>84</v>
      </c>
    </row>
    <row r="376" spans="1:3">
      <c r="A376" s="78">
        <v>42352</v>
      </c>
      <c r="B376" s="79" t="s">
        <v>108</v>
      </c>
      <c r="C376" s="80" t="s">
        <v>84</v>
      </c>
    </row>
    <row r="377" spans="1:3">
      <c r="A377" s="78">
        <v>42360</v>
      </c>
      <c r="B377" s="79" t="s">
        <v>109</v>
      </c>
      <c r="C377" s="80" t="s">
        <v>84</v>
      </c>
    </row>
    <row r="378" spans="1:3">
      <c r="A378" s="78">
        <v>42394</v>
      </c>
      <c r="B378" s="79" t="s">
        <v>112</v>
      </c>
      <c r="C378" s="80" t="s">
        <v>84</v>
      </c>
    </row>
    <row r="379" spans="1:3">
      <c r="A379" s="78">
        <v>42396</v>
      </c>
      <c r="B379" s="79" t="s">
        <v>110</v>
      </c>
      <c r="C379" s="80" t="s">
        <v>111</v>
      </c>
    </row>
    <row r="380" spans="1:3">
      <c r="A380" s="78">
        <v>42452</v>
      </c>
      <c r="B380" s="79" t="s">
        <v>113</v>
      </c>
      <c r="C380" s="80" t="s">
        <v>84</v>
      </c>
    </row>
    <row r="381" spans="1:3">
      <c r="A381" s="78">
        <v>42453</v>
      </c>
      <c r="B381" s="79" t="s">
        <v>136</v>
      </c>
      <c r="C381" s="80" t="s">
        <v>84</v>
      </c>
    </row>
    <row r="382" spans="1:3">
      <c r="A382" s="78">
        <v>42454</v>
      </c>
      <c r="B382" s="79" t="s">
        <v>115</v>
      </c>
      <c r="C382" s="80" t="s">
        <v>84</v>
      </c>
    </row>
    <row r="383" spans="1:3">
      <c r="A383" s="78">
        <v>42482</v>
      </c>
      <c r="B383" s="79" t="s">
        <v>116</v>
      </c>
      <c r="C383" s="80" t="s">
        <v>84</v>
      </c>
    </row>
    <row r="384" spans="1:3">
      <c r="A384" s="78">
        <v>42483</v>
      </c>
      <c r="B384" s="79" t="s">
        <v>117</v>
      </c>
      <c r="C384" s="80" t="s">
        <v>84</v>
      </c>
    </row>
    <row r="385" spans="1:3">
      <c r="A385" s="78">
        <v>42484</v>
      </c>
      <c r="B385" s="79" t="s">
        <v>118</v>
      </c>
      <c r="C385" s="80" t="s">
        <v>84</v>
      </c>
    </row>
    <row r="386" spans="1:3">
      <c r="A386" s="78">
        <v>42485</v>
      </c>
      <c r="B386" s="79" t="s">
        <v>119</v>
      </c>
      <c r="C386" s="80" t="s">
        <v>84</v>
      </c>
    </row>
    <row r="387" spans="1:3">
      <c r="A387" s="78">
        <v>42486</v>
      </c>
      <c r="B387" s="79" t="s">
        <v>120</v>
      </c>
      <c r="C387" s="80" t="s">
        <v>84</v>
      </c>
    </row>
    <row r="388" spans="1:3">
      <c r="A388" s="78">
        <v>42487</v>
      </c>
      <c r="B388" s="79" t="s">
        <v>121</v>
      </c>
      <c r="C388" s="80" t="s">
        <v>84</v>
      </c>
    </row>
    <row r="389" spans="1:3">
      <c r="A389" s="78">
        <v>42488</v>
      </c>
      <c r="B389" s="79" t="s">
        <v>122</v>
      </c>
      <c r="C389" s="80" t="s">
        <v>84</v>
      </c>
    </row>
    <row r="390" spans="1:3">
      <c r="A390" s="78">
        <v>42489</v>
      </c>
      <c r="B390" s="79" t="s">
        <v>123</v>
      </c>
      <c r="C390" s="80" t="s">
        <v>84</v>
      </c>
    </row>
    <row r="391" spans="1:3">
      <c r="A391" s="78">
        <v>42490</v>
      </c>
      <c r="B391" s="79" t="s">
        <v>124</v>
      </c>
      <c r="C391" s="80" t="s">
        <v>84</v>
      </c>
    </row>
    <row r="392" spans="1:3">
      <c r="A392" s="78">
        <v>42495</v>
      </c>
      <c r="B392" s="79" t="s">
        <v>125</v>
      </c>
      <c r="C392" s="80" t="s">
        <v>100</v>
      </c>
    </row>
    <row r="393" spans="1:3">
      <c r="A393" s="78">
        <v>42501</v>
      </c>
      <c r="B393" s="79" t="s">
        <v>126</v>
      </c>
      <c r="C393" s="80" t="s">
        <v>100</v>
      </c>
    </row>
    <row r="394" spans="1:3">
      <c r="A394" s="78">
        <v>42502</v>
      </c>
      <c r="B394" s="79" t="s">
        <v>127</v>
      </c>
      <c r="C394" s="80" t="s">
        <v>100</v>
      </c>
    </row>
    <row r="395" spans="1:3">
      <c r="A395" s="78">
        <v>42516</v>
      </c>
      <c r="B395" s="79" t="s">
        <v>128</v>
      </c>
      <c r="C395" s="80" t="s">
        <v>84</v>
      </c>
    </row>
    <row r="396" spans="1:3">
      <c r="A396" s="78">
        <v>42526</v>
      </c>
      <c r="B396" s="79" t="s">
        <v>129</v>
      </c>
      <c r="C396" s="80" t="s">
        <v>100</v>
      </c>
    </row>
    <row r="397" spans="1:3">
      <c r="A397" s="78">
        <v>42532</v>
      </c>
      <c r="B397" s="79" t="s">
        <v>130</v>
      </c>
      <c r="C397" s="80" t="s">
        <v>84</v>
      </c>
    </row>
    <row r="398" spans="1:3">
      <c r="A398" s="78">
        <v>42533</v>
      </c>
      <c r="B398" s="79" t="s">
        <v>131</v>
      </c>
      <c r="C398" s="80" t="s">
        <v>84</v>
      </c>
    </row>
    <row r="399" spans="1:3">
      <c r="A399" s="78">
        <v>42534</v>
      </c>
      <c r="B399" s="79" t="s">
        <v>132</v>
      </c>
      <c r="C399" s="80" t="s">
        <v>84</v>
      </c>
    </row>
    <row r="400" spans="1:3">
      <c r="A400" s="78">
        <v>42572</v>
      </c>
      <c r="B400" s="79" t="s">
        <v>133</v>
      </c>
      <c r="C400" s="80" t="s">
        <v>84</v>
      </c>
    </row>
    <row r="401" spans="1:3">
      <c r="A401" s="78">
        <v>42593</v>
      </c>
      <c r="B401" s="79" t="s">
        <v>134</v>
      </c>
      <c r="C401" s="80" t="s">
        <v>84</v>
      </c>
    </row>
    <row r="402" spans="1:3">
      <c r="A402" s="78">
        <v>42645</v>
      </c>
      <c r="B402" s="79" t="s">
        <v>135</v>
      </c>
      <c r="C402" s="80" t="s">
        <v>84</v>
      </c>
    </row>
    <row r="403" spans="1:3">
      <c r="A403" s="78">
        <v>42646</v>
      </c>
      <c r="B403" s="79" t="s">
        <v>83</v>
      </c>
      <c r="C403" s="80" t="s">
        <v>84</v>
      </c>
    </row>
    <row r="404" spans="1:3">
      <c r="A404" s="78">
        <v>42647</v>
      </c>
      <c r="B404" s="79" t="s">
        <v>85</v>
      </c>
      <c r="C404" s="80" t="s">
        <v>84</v>
      </c>
    </row>
    <row r="405" spans="1:3">
      <c r="A405" s="78">
        <v>42648</v>
      </c>
      <c r="B405" s="79" t="s">
        <v>86</v>
      </c>
      <c r="C405" s="80" t="s">
        <v>84</v>
      </c>
    </row>
    <row r="406" spans="1:3">
      <c r="A406" s="78">
        <v>42654</v>
      </c>
      <c r="B406" s="79" t="s">
        <v>87</v>
      </c>
      <c r="C406" s="80" t="s">
        <v>84</v>
      </c>
    </row>
    <row r="407" spans="1:3">
      <c r="A407" s="78">
        <v>42655</v>
      </c>
      <c r="B407" s="79" t="s">
        <v>88</v>
      </c>
      <c r="C407" s="80" t="s">
        <v>84</v>
      </c>
    </row>
    <row r="408" spans="1:3">
      <c r="A408" s="78">
        <v>42659</v>
      </c>
      <c r="B408" s="79" t="s">
        <v>89</v>
      </c>
      <c r="C408" s="80" t="s">
        <v>84</v>
      </c>
    </row>
    <row r="409" spans="1:3">
      <c r="A409" s="78">
        <v>42660</v>
      </c>
      <c r="B409" s="79" t="s">
        <v>90</v>
      </c>
      <c r="C409" s="80" t="s">
        <v>84</v>
      </c>
    </row>
    <row r="410" spans="1:3">
      <c r="A410" s="78">
        <v>42661</v>
      </c>
      <c r="B410" s="79" t="s">
        <v>91</v>
      </c>
      <c r="C410" s="80" t="s">
        <v>84</v>
      </c>
    </row>
    <row r="411" spans="1:3">
      <c r="A411" s="78">
        <v>42662</v>
      </c>
      <c r="B411" s="79" t="s">
        <v>92</v>
      </c>
      <c r="C411" s="80" t="s">
        <v>84</v>
      </c>
    </row>
    <row r="412" spans="1:3">
      <c r="A412" s="78">
        <v>42663</v>
      </c>
      <c r="B412" s="79" t="s">
        <v>93</v>
      </c>
      <c r="C412" s="80" t="s">
        <v>84</v>
      </c>
    </row>
    <row r="413" spans="1:3">
      <c r="A413" s="78">
        <v>42664</v>
      </c>
      <c r="B413" s="79" t="s">
        <v>94</v>
      </c>
      <c r="C413" s="80" t="s">
        <v>84</v>
      </c>
    </row>
    <row r="414" spans="1:3">
      <c r="A414" s="78">
        <v>42665</v>
      </c>
      <c r="B414" s="79" t="s">
        <v>95</v>
      </c>
      <c r="C414" s="80" t="s">
        <v>84</v>
      </c>
    </row>
    <row r="415" spans="1:3">
      <c r="A415" s="78">
        <v>42666</v>
      </c>
      <c r="B415" s="79" t="s">
        <v>96</v>
      </c>
      <c r="C415" s="80" t="s">
        <v>84</v>
      </c>
    </row>
    <row r="416" spans="1:3">
      <c r="A416" s="78">
        <v>42667</v>
      </c>
      <c r="B416" s="79" t="s">
        <v>97</v>
      </c>
      <c r="C416" s="80" t="s">
        <v>84</v>
      </c>
    </row>
    <row r="417" spans="1:3">
      <c r="A417" s="78">
        <v>42668</v>
      </c>
      <c r="B417" s="79" t="s">
        <v>98</v>
      </c>
      <c r="C417" s="80" t="s">
        <v>84</v>
      </c>
    </row>
    <row r="418" spans="1:3">
      <c r="A418" s="78">
        <v>42687</v>
      </c>
      <c r="B418" s="79" t="s">
        <v>99</v>
      </c>
      <c r="C418" s="80" t="s">
        <v>100</v>
      </c>
    </row>
    <row r="419" spans="1:3">
      <c r="A419" s="78">
        <v>42729</v>
      </c>
      <c r="B419" s="79" t="s">
        <v>101</v>
      </c>
      <c r="C419" s="80" t="s">
        <v>84</v>
      </c>
    </row>
    <row r="420" spans="1:3">
      <c r="A420" s="78">
        <v>42730</v>
      </c>
      <c r="B420" s="79" t="s">
        <v>102</v>
      </c>
      <c r="C420" s="80" t="s">
        <v>84</v>
      </c>
    </row>
    <row r="421" spans="1:3">
      <c r="A421" s="78">
        <v>42731</v>
      </c>
      <c r="B421" s="79" t="s">
        <v>103</v>
      </c>
      <c r="C421" s="80" t="s">
        <v>84</v>
      </c>
    </row>
    <row r="422" spans="1:3">
      <c r="A422" s="78">
        <v>42732</v>
      </c>
      <c r="B422" s="79" t="s">
        <v>104</v>
      </c>
      <c r="C422" s="80" t="s">
        <v>84</v>
      </c>
    </row>
    <row r="423" spans="1:3">
      <c r="A423" s="78">
        <v>42733</v>
      </c>
      <c r="B423" s="79" t="s">
        <v>105</v>
      </c>
      <c r="C423" s="80" t="s">
        <v>84</v>
      </c>
    </row>
    <row r="424" spans="1:3">
      <c r="A424" s="78">
        <v>42734</v>
      </c>
      <c r="B424" s="79" t="s">
        <v>106</v>
      </c>
      <c r="C424" s="80" t="s">
        <v>84</v>
      </c>
    </row>
    <row r="425" spans="1:3">
      <c r="A425" s="78">
        <v>42735</v>
      </c>
      <c r="B425" s="79" t="s">
        <v>107</v>
      </c>
      <c r="C425" s="80" t="s">
        <v>84</v>
      </c>
    </row>
    <row r="426" spans="1:3">
      <c r="A426" s="78">
        <v>42736</v>
      </c>
      <c r="B426" s="79" t="s">
        <v>108</v>
      </c>
      <c r="C426" s="80" t="s">
        <v>84</v>
      </c>
    </row>
    <row r="427" spans="1:3">
      <c r="A427" s="78">
        <v>42743</v>
      </c>
      <c r="B427" s="79" t="s">
        <v>109</v>
      </c>
      <c r="C427" s="80" t="s">
        <v>84</v>
      </c>
    </row>
    <row r="428" spans="1:3">
      <c r="A428" s="78">
        <v>42762</v>
      </c>
      <c r="B428" s="79" t="s">
        <v>110</v>
      </c>
      <c r="C428" s="80" t="s">
        <v>111</v>
      </c>
    </row>
    <row r="429" spans="1:3">
      <c r="A429" s="78">
        <v>42777</v>
      </c>
      <c r="B429" s="79" t="s">
        <v>112</v>
      </c>
      <c r="C429" s="80" t="s">
        <v>84</v>
      </c>
    </row>
    <row r="430" spans="1:3">
      <c r="A430" s="78">
        <v>42803</v>
      </c>
      <c r="B430" s="79" t="s">
        <v>113</v>
      </c>
      <c r="C430" s="80" t="s">
        <v>84</v>
      </c>
    </row>
    <row r="431" spans="1:3">
      <c r="A431" s="78">
        <v>42806</v>
      </c>
      <c r="B431" s="79" t="s">
        <v>114</v>
      </c>
      <c r="C431" s="80" t="s">
        <v>84</v>
      </c>
    </row>
    <row r="432" spans="1:3">
      <c r="A432" s="78">
        <v>42807</v>
      </c>
      <c r="B432" s="79" t="s">
        <v>115</v>
      </c>
      <c r="C432" s="80" t="s">
        <v>84</v>
      </c>
    </row>
    <row r="433" spans="1:3">
      <c r="A433" s="78">
        <v>42835</v>
      </c>
      <c r="B433" s="79" t="s">
        <v>116</v>
      </c>
      <c r="C433" s="80" t="s">
        <v>84</v>
      </c>
    </row>
    <row r="434" spans="1:3">
      <c r="A434" s="78">
        <v>42836</v>
      </c>
      <c r="B434" s="79" t="s">
        <v>117</v>
      </c>
      <c r="C434" s="80" t="s">
        <v>84</v>
      </c>
    </row>
    <row r="435" spans="1:3">
      <c r="A435" s="78">
        <v>42837</v>
      </c>
      <c r="B435" s="79" t="s">
        <v>118</v>
      </c>
      <c r="C435" s="80" t="s">
        <v>84</v>
      </c>
    </row>
    <row r="436" spans="1:3">
      <c r="A436" s="78">
        <v>42838</v>
      </c>
      <c r="B436" s="79" t="s">
        <v>119</v>
      </c>
      <c r="C436" s="80" t="s">
        <v>84</v>
      </c>
    </row>
    <row r="437" spans="1:3">
      <c r="A437" s="78">
        <v>42839</v>
      </c>
      <c r="B437" s="79" t="s">
        <v>120</v>
      </c>
      <c r="C437" s="80" t="s">
        <v>84</v>
      </c>
    </row>
    <row r="438" spans="1:3">
      <c r="A438" s="78">
        <v>42840</v>
      </c>
      <c r="B438" s="79" t="s">
        <v>121</v>
      </c>
      <c r="C438" s="80" t="s">
        <v>84</v>
      </c>
    </row>
    <row r="439" spans="1:3">
      <c r="A439" s="78">
        <v>42841</v>
      </c>
      <c r="B439" s="79" t="s">
        <v>122</v>
      </c>
      <c r="C439" s="80" t="s">
        <v>84</v>
      </c>
    </row>
    <row r="440" spans="1:3">
      <c r="A440" s="78">
        <v>42842</v>
      </c>
      <c r="B440" s="79" t="s">
        <v>123</v>
      </c>
      <c r="C440" s="80" t="s">
        <v>84</v>
      </c>
    </row>
    <row r="441" spans="1:3">
      <c r="A441" s="78">
        <v>42843</v>
      </c>
      <c r="B441" s="79" t="s">
        <v>124</v>
      </c>
      <c r="C441" s="80" t="s">
        <v>84</v>
      </c>
    </row>
    <row r="442" spans="1:3">
      <c r="A442" s="78">
        <v>42848</v>
      </c>
      <c r="B442" s="79" t="s">
        <v>125</v>
      </c>
      <c r="C442" s="80" t="s">
        <v>100</v>
      </c>
    </row>
    <row r="443" spans="1:3">
      <c r="A443" s="78">
        <v>42856</v>
      </c>
      <c r="B443" s="79" t="s">
        <v>126</v>
      </c>
      <c r="C443" s="80" t="s">
        <v>100</v>
      </c>
    </row>
    <row r="444" spans="1:3">
      <c r="A444" s="78">
        <v>42857</v>
      </c>
      <c r="B444" s="79" t="s">
        <v>127</v>
      </c>
      <c r="C444" s="80" t="s">
        <v>100</v>
      </c>
    </row>
    <row r="445" spans="1:3">
      <c r="A445" s="78">
        <v>42869</v>
      </c>
      <c r="B445" s="79" t="s">
        <v>128</v>
      </c>
      <c r="C445" s="80" t="s">
        <v>84</v>
      </c>
    </row>
    <row r="446" spans="1:3">
      <c r="A446" s="78">
        <v>42879</v>
      </c>
      <c r="B446" s="79" t="s">
        <v>129</v>
      </c>
      <c r="C446" s="80" t="s">
        <v>100</v>
      </c>
    </row>
    <row r="447" spans="1:3">
      <c r="A447" s="78">
        <v>42885</v>
      </c>
      <c r="B447" s="79" t="s">
        <v>130</v>
      </c>
      <c r="C447" s="80" t="s">
        <v>84</v>
      </c>
    </row>
    <row r="448" spans="1:3">
      <c r="A448" s="78">
        <v>42886</v>
      </c>
      <c r="B448" s="79" t="s">
        <v>131</v>
      </c>
      <c r="C448" s="80" t="s">
        <v>84</v>
      </c>
    </row>
    <row r="449" spans="1:3">
      <c r="A449" s="78">
        <v>42887</v>
      </c>
      <c r="B449" s="79" t="s">
        <v>132</v>
      </c>
      <c r="C449" s="80" t="s">
        <v>84</v>
      </c>
    </row>
    <row r="450" spans="1:3">
      <c r="A450" s="78">
        <v>42927</v>
      </c>
      <c r="B450" s="79" t="s">
        <v>133</v>
      </c>
      <c r="C450" s="80" t="s">
        <v>84</v>
      </c>
    </row>
    <row r="451" spans="1:3">
      <c r="A451" s="78">
        <v>42948</v>
      </c>
      <c r="B451" s="79" t="s">
        <v>134</v>
      </c>
      <c r="C451" s="80" t="s">
        <v>84</v>
      </c>
    </row>
    <row r="452" spans="1:3">
      <c r="A452" s="78">
        <v>42998</v>
      </c>
      <c r="B452" s="79" t="s">
        <v>135</v>
      </c>
      <c r="C452" s="80" t="s">
        <v>84</v>
      </c>
    </row>
    <row r="453" spans="1:3">
      <c r="A453" s="78">
        <v>42999</v>
      </c>
      <c r="B453" s="79" t="s">
        <v>83</v>
      </c>
      <c r="C453" s="80" t="s">
        <v>84</v>
      </c>
    </row>
    <row r="454" spans="1:3">
      <c r="A454" s="78">
        <v>43000</v>
      </c>
      <c r="B454" s="79" t="s">
        <v>85</v>
      </c>
      <c r="C454" s="80" t="s">
        <v>84</v>
      </c>
    </row>
    <row r="455" spans="1:3">
      <c r="A455" s="78">
        <v>43002</v>
      </c>
      <c r="B455" s="79" t="s">
        <v>86</v>
      </c>
      <c r="C455" s="80" t="s">
        <v>84</v>
      </c>
    </row>
    <row r="456" spans="1:3">
      <c r="A456" s="78">
        <v>43007</v>
      </c>
      <c r="B456" s="79" t="s">
        <v>87</v>
      </c>
      <c r="C456" s="80" t="s">
        <v>84</v>
      </c>
    </row>
    <row r="457" spans="1:3">
      <c r="A457" s="78">
        <v>43008</v>
      </c>
      <c r="B457" s="79" t="s">
        <v>88</v>
      </c>
      <c r="C457" s="80" t="s">
        <v>84</v>
      </c>
    </row>
    <row r="458" spans="1:3">
      <c r="A458" s="78">
        <v>43012</v>
      </c>
      <c r="B458" s="79" t="s">
        <v>89</v>
      </c>
      <c r="C458" s="80" t="s">
        <v>84</v>
      </c>
    </row>
    <row r="459" spans="1:3">
      <c r="A459" s="78">
        <v>43013</v>
      </c>
      <c r="B459" s="79" t="s">
        <v>90</v>
      </c>
      <c r="C459" s="80" t="s">
        <v>84</v>
      </c>
    </row>
    <row r="460" spans="1:3">
      <c r="A460" s="78">
        <v>43014</v>
      </c>
      <c r="B460" s="79" t="s">
        <v>91</v>
      </c>
      <c r="C460" s="80" t="s">
        <v>84</v>
      </c>
    </row>
    <row r="461" spans="1:3">
      <c r="A461" s="78">
        <v>43015</v>
      </c>
      <c r="B461" s="79" t="s">
        <v>92</v>
      </c>
      <c r="C461" s="80" t="s">
        <v>84</v>
      </c>
    </row>
    <row r="462" spans="1:3">
      <c r="A462" s="78">
        <v>43016</v>
      </c>
      <c r="B462" s="79" t="s">
        <v>93</v>
      </c>
      <c r="C462" s="80" t="s">
        <v>84</v>
      </c>
    </row>
    <row r="463" spans="1:3">
      <c r="A463" s="78">
        <v>43017</v>
      </c>
      <c r="B463" s="79" t="s">
        <v>94</v>
      </c>
      <c r="C463" s="80" t="s">
        <v>84</v>
      </c>
    </row>
    <row r="464" spans="1:3">
      <c r="A464" s="78">
        <v>43018</v>
      </c>
      <c r="B464" s="79" t="s">
        <v>95</v>
      </c>
      <c r="C464" s="80" t="s">
        <v>84</v>
      </c>
    </row>
    <row r="465" spans="1:3">
      <c r="A465" s="78">
        <v>43019</v>
      </c>
      <c r="B465" s="79" t="s">
        <v>96</v>
      </c>
      <c r="C465" s="80" t="s">
        <v>84</v>
      </c>
    </row>
    <row r="466" spans="1:3">
      <c r="A466" s="78">
        <v>43020</v>
      </c>
      <c r="B466" s="79" t="s">
        <v>97</v>
      </c>
      <c r="C466" s="80" t="s">
        <v>84</v>
      </c>
    </row>
    <row r="467" spans="1:3">
      <c r="A467" s="78">
        <v>43021</v>
      </c>
      <c r="B467" s="79" t="s">
        <v>98</v>
      </c>
      <c r="C467" s="80" t="s">
        <v>84</v>
      </c>
    </row>
    <row r="468" spans="1:3">
      <c r="A468" s="78">
        <v>43040</v>
      </c>
      <c r="B468" s="79" t="s">
        <v>99</v>
      </c>
      <c r="C468" s="80" t="s">
        <v>100</v>
      </c>
    </row>
    <row r="469" spans="1:3">
      <c r="A469" s="78">
        <v>43082</v>
      </c>
      <c r="B469" s="79" t="s">
        <v>101</v>
      </c>
      <c r="C469" s="80" t="s">
        <v>84</v>
      </c>
    </row>
    <row r="470" spans="1:3">
      <c r="A470" s="78">
        <v>43083</v>
      </c>
      <c r="B470" s="79" t="s">
        <v>102</v>
      </c>
      <c r="C470" s="80" t="s">
        <v>84</v>
      </c>
    </row>
    <row r="471" spans="1:3">
      <c r="A471" s="78">
        <v>43084</v>
      </c>
      <c r="B471" s="79" t="s">
        <v>103</v>
      </c>
      <c r="C471" s="80" t="s">
        <v>84</v>
      </c>
    </row>
    <row r="472" spans="1:3">
      <c r="A472" s="78">
        <v>43085</v>
      </c>
      <c r="B472" s="79" t="s">
        <v>104</v>
      </c>
      <c r="C472" s="80" t="s">
        <v>84</v>
      </c>
    </row>
    <row r="473" spans="1:3">
      <c r="A473" s="78">
        <v>43086</v>
      </c>
      <c r="B473" s="79" t="s">
        <v>105</v>
      </c>
      <c r="C473" s="80" t="s">
        <v>84</v>
      </c>
    </row>
    <row r="474" spans="1:3">
      <c r="A474" s="78">
        <v>43087</v>
      </c>
      <c r="B474" s="79" t="s">
        <v>106</v>
      </c>
      <c r="C474" s="80" t="s">
        <v>84</v>
      </c>
    </row>
    <row r="475" spans="1:3">
      <c r="A475" s="78">
        <v>43088</v>
      </c>
      <c r="B475" s="79" t="s">
        <v>107</v>
      </c>
      <c r="C475" s="80" t="s">
        <v>84</v>
      </c>
    </row>
    <row r="476" spans="1:3">
      <c r="A476" s="78">
        <v>43089</v>
      </c>
      <c r="B476" s="79" t="s">
        <v>108</v>
      </c>
      <c r="C476" s="80" t="s">
        <v>84</v>
      </c>
    </row>
    <row r="477" spans="1:3">
      <c r="A477" s="78">
        <v>43097</v>
      </c>
      <c r="B477" s="79" t="s">
        <v>109</v>
      </c>
      <c r="C477" s="80" t="s">
        <v>84</v>
      </c>
    </row>
    <row r="478" spans="1:3">
      <c r="A478" s="78">
        <v>43127</v>
      </c>
      <c r="B478" s="79" t="s">
        <v>110</v>
      </c>
      <c r="C478" s="80" t="s">
        <v>111</v>
      </c>
    </row>
    <row r="479" spans="1:3">
      <c r="A479" s="78">
        <v>43131</v>
      </c>
      <c r="B479" s="79" t="s">
        <v>112</v>
      </c>
      <c r="C479" s="80" t="s">
        <v>84</v>
      </c>
    </row>
    <row r="480" spans="1:3">
      <c r="A480" s="78">
        <v>43159</v>
      </c>
      <c r="B480" s="79" t="s">
        <v>113</v>
      </c>
      <c r="C480" s="80" t="s">
        <v>84</v>
      </c>
    </row>
    <row r="481" spans="1:3">
      <c r="A481" s="78">
        <v>43160</v>
      </c>
      <c r="B481" s="79" t="s">
        <v>114</v>
      </c>
      <c r="C481" s="80" t="s">
        <v>84</v>
      </c>
    </row>
    <row r="482" spans="1:3">
      <c r="A482" s="78">
        <v>43161</v>
      </c>
      <c r="B482" s="79" t="s">
        <v>115</v>
      </c>
      <c r="C482" s="80" t="s">
        <v>84</v>
      </c>
    </row>
    <row r="483" spans="1:3">
      <c r="A483" s="78">
        <v>43189</v>
      </c>
      <c r="B483" s="79" t="s">
        <v>116</v>
      </c>
      <c r="C483" s="80" t="s">
        <v>84</v>
      </c>
    </row>
    <row r="484" spans="1:3">
      <c r="A484" s="78">
        <v>43190</v>
      </c>
      <c r="B484" s="79" t="s">
        <v>117</v>
      </c>
      <c r="C484" s="80" t="s">
        <v>84</v>
      </c>
    </row>
    <row r="485" spans="1:3">
      <c r="A485" s="78">
        <v>43191</v>
      </c>
      <c r="B485" s="79" t="s">
        <v>118</v>
      </c>
      <c r="C485" s="80" t="s">
        <v>84</v>
      </c>
    </row>
    <row r="486" spans="1:3">
      <c r="A486" s="78">
        <v>43192</v>
      </c>
      <c r="B486" s="79" t="s">
        <v>119</v>
      </c>
      <c r="C486" s="80" t="s">
        <v>84</v>
      </c>
    </row>
    <row r="487" spans="1:3">
      <c r="A487" s="78">
        <v>43193</v>
      </c>
      <c r="B487" s="79" t="s">
        <v>120</v>
      </c>
      <c r="C487" s="80" t="s">
        <v>84</v>
      </c>
    </row>
    <row r="488" spans="1:3">
      <c r="A488" s="78">
        <v>43194</v>
      </c>
      <c r="B488" s="79" t="s">
        <v>121</v>
      </c>
      <c r="C488" s="80" t="s">
        <v>84</v>
      </c>
    </row>
    <row r="489" spans="1:3">
      <c r="A489" s="78">
        <v>43195</v>
      </c>
      <c r="B489" s="79" t="s">
        <v>122</v>
      </c>
      <c r="C489" s="80" t="s">
        <v>84</v>
      </c>
    </row>
    <row r="490" spans="1:3">
      <c r="A490" s="78">
        <v>43196</v>
      </c>
      <c r="B490" s="79" t="s">
        <v>123</v>
      </c>
      <c r="C490" s="80" t="s">
        <v>84</v>
      </c>
    </row>
    <row r="491" spans="1:3">
      <c r="A491" s="78">
        <v>43197</v>
      </c>
      <c r="B491" s="79" t="s">
        <v>124</v>
      </c>
      <c r="C491" s="80" t="s">
        <v>84</v>
      </c>
    </row>
    <row r="492" spans="1:3">
      <c r="A492" s="78">
        <v>43202</v>
      </c>
      <c r="B492" s="79" t="s">
        <v>125</v>
      </c>
      <c r="C492" s="80" t="s">
        <v>100</v>
      </c>
    </row>
    <row r="493" spans="1:3">
      <c r="A493" s="78">
        <v>43208</v>
      </c>
      <c r="B493" s="79" t="s">
        <v>126</v>
      </c>
      <c r="C493" s="80" t="s">
        <v>100</v>
      </c>
    </row>
    <row r="494" spans="1:3">
      <c r="A494" s="78">
        <v>43209</v>
      </c>
      <c r="B494" s="79" t="s">
        <v>127</v>
      </c>
      <c r="C494" s="80" t="s">
        <v>100</v>
      </c>
    </row>
    <row r="495" spans="1:3">
      <c r="A495" s="78">
        <v>43223</v>
      </c>
      <c r="B495" s="79" t="s">
        <v>128</v>
      </c>
      <c r="C495" s="80" t="s">
        <v>84</v>
      </c>
    </row>
    <row r="496" spans="1:3">
      <c r="A496" s="78">
        <v>43233</v>
      </c>
      <c r="B496" s="79" t="s">
        <v>129</v>
      </c>
      <c r="C496" s="80" t="s">
        <v>100</v>
      </c>
    </row>
    <row r="497" spans="1:3">
      <c r="A497" s="78">
        <v>43239</v>
      </c>
      <c r="B497" s="79" t="s">
        <v>130</v>
      </c>
      <c r="C497" s="80" t="s">
        <v>84</v>
      </c>
    </row>
    <row r="498" spans="1:3">
      <c r="A498" s="78">
        <v>43240</v>
      </c>
      <c r="B498" s="79" t="s">
        <v>131</v>
      </c>
      <c r="C498" s="80" t="s">
        <v>84</v>
      </c>
    </row>
    <row r="499" spans="1:3">
      <c r="A499" s="78">
        <v>43241</v>
      </c>
      <c r="B499" s="79" t="s">
        <v>132</v>
      </c>
      <c r="C499" s="80" t="s">
        <v>84</v>
      </c>
    </row>
    <row r="500" spans="1:3">
      <c r="A500" s="78">
        <v>43279</v>
      </c>
      <c r="B500" s="79" t="s">
        <v>133</v>
      </c>
      <c r="C500" s="80" t="s">
        <v>84</v>
      </c>
    </row>
    <row r="501" spans="1:3">
      <c r="A501" s="78">
        <v>43300</v>
      </c>
      <c r="B501" s="79" t="s">
        <v>134</v>
      </c>
      <c r="C501" s="80" t="s">
        <v>84</v>
      </c>
    </row>
    <row r="502" spans="1:3">
      <c r="A502" s="78">
        <v>43352</v>
      </c>
      <c r="B502" s="79" t="s">
        <v>135</v>
      </c>
      <c r="C502" s="80" t="s">
        <v>84</v>
      </c>
    </row>
    <row r="503" spans="1:3">
      <c r="A503" s="78">
        <v>43353</v>
      </c>
      <c r="B503" s="79" t="s">
        <v>83</v>
      </c>
      <c r="C503" s="80" t="s">
        <v>84</v>
      </c>
    </row>
    <row r="504" spans="1:3">
      <c r="A504" s="78">
        <v>43354</v>
      </c>
      <c r="B504" s="79" t="s">
        <v>85</v>
      </c>
      <c r="C504" s="80" t="s">
        <v>84</v>
      </c>
    </row>
    <row r="505" spans="1:3">
      <c r="A505" s="78">
        <v>43355</v>
      </c>
      <c r="B505" s="79" t="s">
        <v>86</v>
      </c>
      <c r="C505" s="80" t="s">
        <v>84</v>
      </c>
    </row>
    <row r="506" spans="1:3">
      <c r="A506" s="78">
        <v>43361</v>
      </c>
      <c r="B506" s="79" t="s">
        <v>87</v>
      </c>
      <c r="C506" s="80" t="s">
        <v>84</v>
      </c>
    </row>
    <row r="507" spans="1:3">
      <c r="A507" s="78">
        <v>43362</v>
      </c>
      <c r="B507" s="79" t="s">
        <v>88</v>
      </c>
      <c r="C507" s="80" t="s">
        <v>84</v>
      </c>
    </row>
    <row r="508" spans="1:3">
      <c r="A508" s="78">
        <v>43366</v>
      </c>
      <c r="B508" s="79" t="s">
        <v>89</v>
      </c>
      <c r="C508" s="80" t="s">
        <v>84</v>
      </c>
    </row>
    <row r="509" spans="1:3">
      <c r="A509" s="78">
        <v>43367</v>
      </c>
      <c r="B509" s="79" t="s">
        <v>90</v>
      </c>
      <c r="C509" s="80" t="s">
        <v>84</v>
      </c>
    </row>
    <row r="510" spans="1:3">
      <c r="A510" s="78">
        <v>43368</v>
      </c>
      <c r="B510" s="79" t="s">
        <v>91</v>
      </c>
      <c r="C510" s="80" t="s">
        <v>84</v>
      </c>
    </row>
    <row r="511" spans="1:3">
      <c r="A511" s="78">
        <v>43369</v>
      </c>
      <c r="B511" s="79" t="s">
        <v>92</v>
      </c>
      <c r="C511" s="80" t="s">
        <v>84</v>
      </c>
    </row>
    <row r="512" spans="1:3">
      <c r="A512" s="78">
        <v>43370</v>
      </c>
      <c r="B512" s="79" t="s">
        <v>93</v>
      </c>
      <c r="C512" s="80" t="s">
        <v>84</v>
      </c>
    </row>
    <row r="513" spans="1:3">
      <c r="A513" s="78">
        <v>43371</v>
      </c>
      <c r="B513" s="79" t="s">
        <v>94</v>
      </c>
      <c r="C513" s="80" t="s">
        <v>84</v>
      </c>
    </row>
    <row r="514" spans="1:3">
      <c r="A514" s="78">
        <v>43372</v>
      </c>
      <c r="B514" s="79" t="s">
        <v>95</v>
      </c>
      <c r="C514" s="80" t="s">
        <v>84</v>
      </c>
    </row>
    <row r="515" spans="1:3">
      <c r="A515" s="78">
        <v>43373</v>
      </c>
      <c r="B515" s="79" t="s">
        <v>96</v>
      </c>
      <c r="C515" s="80" t="s">
        <v>84</v>
      </c>
    </row>
    <row r="516" spans="1:3">
      <c r="A516" s="78">
        <v>43374</v>
      </c>
      <c r="B516" s="79" t="s">
        <v>97</v>
      </c>
      <c r="C516" s="80" t="s">
        <v>84</v>
      </c>
    </row>
    <row r="517" spans="1:3">
      <c r="A517" s="78">
        <v>43375</v>
      </c>
      <c r="B517" s="79" t="s">
        <v>98</v>
      </c>
      <c r="C517" s="80" t="s">
        <v>84</v>
      </c>
    </row>
    <row r="518" spans="1:3">
      <c r="A518" s="78">
        <v>43394</v>
      </c>
      <c r="B518" s="79" t="s">
        <v>99</v>
      </c>
      <c r="C518" s="80" t="s">
        <v>100</v>
      </c>
    </row>
    <row r="519" spans="1:3">
      <c r="A519" s="78">
        <v>43437</v>
      </c>
      <c r="B519" s="79" t="s">
        <v>101</v>
      </c>
      <c r="C519" s="80" t="s">
        <v>84</v>
      </c>
    </row>
    <row r="520" spans="1:3">
      <c r="A520" s="78">
        <v>43438</v>
      </c>
      <c r="B520" s="79" t="s">
        <v>102</v>
      </c>
      <c r="C520" s="80" t="s">
        <v>84</v>
      </c>
    </row>
    <row r="521" spans="1:3">
      <c r="A521" s="78">
        <v>43439</v>
      </c>
      <c r="B521" s="79" t="s">
        <v>103</v>
      </c>
      <c r="C521" s="80" t="s">
        <v>84</v>
      </c>
    </row>
    <row r="522" spans="1:3">
      <c r="A522" s="78">
        <v>43440</v>
      </c>
      <c r="B522" s="79" t="s">
        <v>104</v>
      </c>
      <c r="C522" s="80" t="s">
        <v>84</v>
      </c>
    </row>
    <row r="523" spans="1:3">
      <c r="A523" s="78">
        <v>43441</v>
      </c>
      <c r="B523" s="79" t="s">
        <v>105</v>
      </c>
      <c r="C523" s="80" t="s">
        <v>84</v>
      </c>
    </row>
    <row r="524" spans="1:3">
      <c r="A524" s="78">
        <v>43442</v>
      </c>
      <c r="B524" s="79" t="s">
        <v>106</v>
      </c>
      <c r="C524" s="80" t="s">
        <v>84</v>
      </c>
    </row>
    <row r="525" spans="1:3">
      <c r="A525" s="78">
        <v>43443</v>
      </c>
      <c r="B525" s="79" t="s">
        <v>107</v>
      </c>
      <c r="C525" s="80" t="s">
        <v>84</v>
      </c>
    </row>
    <row r="526" spans="1:3">
      <c r="A526" s="78">
        <v>43444</v>
      </c>
      <c r="B526" s="79" t="s">
        <v>108</v>
      </c>
      <c r="C526" s="80" t="s">
        <v>84</v>
      </c>
    </row>
    <row r="527" spans="1:3">
      <c r="A527" s="78">
        <v>43452</v>
      </c>
      <c r="B527" s="79" t="s">
        <v>109</v>
      </c>
      <c r="C527" s="80" t="s">
        <v>84</v>
      </c>
    </row>
    <row r="528" spans="1:3">
      <c r="A528" s="78">
        <v>43486</v>
      </c>
      <c r="B528" s="79" t="s">
        <v>112</v>
      </c>
      <c r="C528" s="80" t="s">
        <v>84</v>
      </c>
    </row>
    <row r="529" spans="1:3">
      <c r="A529" s="78">
        <v>43492</v>
      </c>
      <c r="B529" s="79" t="s">
        <v>110</v>
      </c>
      <c r="C529" s="80" t="s">
        <v>111</v>
      </c>
    </row>
    <row r="530" spans="1:3">
      <c r="A530" s="78">
        <v>43544</v>
      </c>
      <c r="B530" s="79" t="s">
        <v>113</v>
      </c>
      <c r="C530" s="80" t="s">
        <v>84</v>
      </c>
    </row>
    <row r="531" spans="1:3">
      <c r="A531" s="78">
        <v>43545</v>
      </c>
      <c r="B531" s="79" t="s">
        <v>136</v>
      </c>
      <c r="C531" s="80" t="s">
        <v>84</v>
      </c>
    </row>
    <row r="532" spans="1:3">
      <c r="A532" s="78">
        <v>43546</v>
      </c>
      <c r="B532" s="79" t="s">
        <v>115</v>
      </c>
      <c r="C532" s="80" t="s">
        <v>84</v>
      </c>
    </row>
    <row r="533" spans="1:3">
      <c r="A533" s="78">
        <v>43574</v>
      </c>
      <c r="B533" s="79" t="s">
        <v>116</v>
      </c>
      <c r="C533" s="80" t="s">
        <v>84</v>
      </c>
    </row>
    <row r="534" spans="1:3">
      <c r="A534" s="78">
        <v>43575</v>
      </c>
      <c r="B534" s="79" t="s">
        <v>117</v>
      </c>
      <c r="C534" s="80" t="s">
        <v>84</v>
      </c>
    </row>
    <row r="535" spans="1:3">
      <c r="A535" s="78">
        <v>43576</v>
      </c>
      <c r="B535" s="79" t="s">
        <v>118</v>
      </c>
      <c r="C535" s="80" t="s">
        <v>84</v>
      </c>
    </row>
    <row r="536" spans="1:3">
      <c r="A536" s="78">
        <v>43577</v>
      </c>
      <c r="B536" s="79" t="s">
        <v>119</v>
      </c>
      <c r="C536" s="80" t="s">
        <v>84</v>
      </c>
    </row>
    <row r="537" spans="1:3">
      <c r="A537" s="78">
        <v>43578</v>
      </c>
      <c r="B537" s="79" t="s">
        <v>120</v>
      </c>
      <c r="C537" s="80" t="s">
        <v>84</v>
      </c>
    </row>
    <row r="538" spans="1:3">
      <c r="A538" s="78">
        <v>43579</v>
      </c>
      <c r="B538" s="79" t="s">
        <v>121</v>
      </c>
      <c r="C538" s="80" t="s">
        <v>84</v>
      </c>
    </row>
    <row r="539" spans="1:3">
      <c r="A539" s="78">
        <v>43580</v>
      </c>
      <c r="B539" s="79" t="s">
        <v>122</v>
      </c>
      <c r="C539" s="80" t="s">
        <v>84</v>
      </c>
    </row>
    <row r="540" spans="1:3">
      <c r="A540" s="78">
        <v>43581</v>
      </c>
      <c r="B540" s="79" t="s">
        <v>123</v>
      </c>
      <c r="C540" s="80" t="s">
        <v>84</v>
      </c>
    </row>
    <row r="541" spans="1:3">
      <c r="A541" s="78">
        <v>43582</v>
      </c>
      <c r="B541" s="79" t="s">
        <v>124</v>
      </c>
      <c r="C541" s="80" t="s">
        <v>84</v>
      </c>
    </row>
    <row r="542" spans="1:3">
      <c r="A542" s="78">
        <v>43587</v>
      </c>
      <c r="B542" s="79" t="s">
        <v>125</v>
      </c>
      <c r="C542" s="80" t="s">
        <v>100</v>
      </c>
    </row>
    <row r="543" spans="1:3">
      <c r="A543" s="78">
        <v>43593</v>
      </c>
      <c r="B543" s="79" t="s">
        <v>126</v>
      </c>
      <c r="C543" s="80" t="s">
        <v>100</v>
      </c>
    </row>
    <row r="544" spans="1:3">
      <c r="A544" s="78">
        <v>43594</v>
      </c>
      <c r="B544" s="79" t="s">
        <v>127</v>
      </c>
      <c r="C544" s="80" t="s">
        <v>100</v>
      </c>
    </row>
    <row r="545" spans="1:3">
      <c r="A545" s="78">
        <v>43608</v>
      </c>
      <c r="B545" s="79" t="s">
        <v>128</v>
      </c>
      <c r="C545" s="80" t="s">
        <v>84</v>
      </c>
    </row>
    <row r="546" spans="1:3">
      <c r="A546" s="78">
        <v>43618</v>
      </c>
      <c r="B546" s="79" t="s">
        <v>129</v>
      </c>
      <c r="C546" s="80" t="s">
        <v>100</v>
      </c>
    </row>
    <row r="547" spans="1:3">
      <c r="A547" s="78">
        <v>43624</v>
      </c>
      <c r="B547" s="79" t="s">
        <v>130</v>
      </c>
      <c r="C547" s="80" t="s">
        <v>84</v>
      </c>
    </row>
    <row r="548" spans="1:3">
      <c r="A548" s="78">
        <v>43625</v>
      </c>
      <c r="B548" s="79" t="s">
        <v>131</v>
      </c>
      <c r="C548" s="80" t="s">
        <v>84</v>
      </c>
    </row>
    <row r="549" spans="1:3">
      <c r="A549" s="78">
        <v>43626</v>
      </c>
      <c r="B549" s="79" t="s">
        <v>132</v>
      </c>
      <c r="C549" s="80" t="s">
        <v>84</v>
      </c>
    </row>
    <row r="550" spans="1:3">
      <c r="A550" s="78">
        <v>43664</v>
      </c>
      <c r="B550" s="79" t="s">
        <v>133</v>
      </c>
      <c r="C550" s="80" t="s">
        <v>84</v>
      </c>
    </row>
    <row r="551" spans="1:3">
      <c r="A551" s="78">
        <v>43685</v>
      </c>
      <c r="B551" s="79" t="s">
        <v>134</v>
      </c>
      <c r="C551" s="80" t="s">
        <v>84</v>
      </c>
    </row>
    <row r="552" spans="1:3">
      <c r="A552" s="78">
        <v>43737</v>
      </c>
      <c r="B552" s="79" t="s">
        <v>135</v>
      </c>
      <c r="C552" s="80" t="s">
        <v>84</v>
      </c>
    </row>
    <row r="553" spans="1:3">
      <c r="A553" s="78">
        <v>43738</v>
      </c>
      <c r="B553" s="79" t="s">
        <v>83</v>
      </c>
      <c r="C553" s="80" t="s">
        <v>84</v>
      </c>
    </row>
    <row r="554" spans="1:3">
      <c r="A554" s="78">
        <v>43739</v>
      </c>
      <c r="B554" s="79" t="s">
        <v>85</v>
      </c>
      <c r="C554" s="80" t="s">
        <v>84</v>
      </c>
    </row>
    <row r="555" spans="1:3">
      <c r="A555" s="78">
        <v>43740</v>
      </c>
      <c r="B555" s="79" t="s">
        <v>86</v>
      </c>
      <c r="C555" s="80" t="s">
        <v>84</v>
      </c>
    </row>
    <row r="556" spans="1:3">
      <c r="A556" s="78">
        <v>43746</v>
      </c>
      <c r="B556" s="79" t="s">
        <v>87</v>
      </c>
      <c r="C556" s="80" t="s">
        <v>84</v>
      </c>
    </row>
    <row r="557" spans="1:3">
      <c r="A557" s="78">
        <v>43747</v>
      </c>
      <c r="B557" s="79" t="s">
        <v>88</v>
      </c>
      <c r="C557" s="80" t="s">
        <v>84</v>
      </c>
    </row>
    <row r="558" spans="1:3">
      <c r="A558" s="78">
        <v>43751</v>
      </c>
      <c r="B558" s="79" t="s">
        <v>89</v>
      </c>
      <c r="C558" s="80" t="s">
        <v>84</v>
      </c>
    </row>
    <row r="559" spans="1:3">
      <c r="A559" s="78">
        <v>43752</v>
      </c>
      <c r="B559" s="79" t="s">
        <v>90</v>
      </c>
      <c r="C559" s="80" t="s">
        <v>84</v>
      </c>
    </row>
    <row r="560" spans="1:3">
      <c r="A560" s="78">
        <v>43753</v>
      </c>
      <c r="B560" s="79" t="s">
        <v>91</v>
      </c>
      <c r="C560" s="80" t="s">
        <v>84</v>
      </c>
    </row>
    <row r="561" spans="1:3">
      <c r="A561" s="78">
        <v>43754</v>
      </c>
      <c r="B561" s="79" t="s">
        <v>92</v>
      </c>
      <c r="C561" s="80" t="s">
        <v>84</v>
      </c>
    </row>
    <row r="562" spans="1:3">
      <c r="A562" s="78">
        <v>43755</v>
      </c>
      <c r="B562" s="79" t="s">
        <v>93</v>
      </c>
      <c r="C562" s="80" t="s">
        <v>84</v>
      </c>
    </row>
    <row r="563" spans="1:3">
      <c r="A563" s="78">
        <v>43756</v>
      </c>
      <c r="B563" s="79" t="s">
        <v>94</v>
      </c>
      <c r="C563" s="80" t="s">
        <v>84</v>
      </c>
    </row>
    <row r="564" spans="1:3">
      <c r="A564" s="78">
        <v>43757</v>
      </c>
      <c r="B564" s="79" t="s">
        <v>95</v>
      </c>
      <c r="C564" s="80" t="s">
        <v>84</v>
      </c>
    </row>
    <row r="565" spans="1:3">
      <c r="A565" s="78">
        <v>43758</v>
      </c>
      <c r="B565" s="79" t="s">
        <v>96</v>
      </c>
      <c r="C565" s="80" t="s">
        <v>84</v>
      </c>
    </row>
    <row r="566" spans="1:3">
      <c r="A566" s="78">
        <v>43759</v>
      </c>
      <c r="B566" s="79" t="s">
        <v>97</v>
      </c>
      <c r="C566" s="80" t="s">
        <v>84</v>
      </c>
    </row>
    <row r="567" spans="1:3">
      <c r="A567" s="78">
        <v>43760</v>
      </c>
      <c r="B567" s="79" t="s">
        <v>98</v>
      </c>
      <c r="C567" s="80" t="s">
        <v>84</v>
      </c>
    </row>
    <row r="568" spans="1:3">
      <c r="A568" s="78">
        <v>43779</v>
      </c>
      <c r="B568" s="79" t="s">
        <v>99</v>
      </c>
      <c r="C568" s="80" t="s">
        <v>100</v>
      </c>
    </row>
    <row r="569" spans="1:3">
      <c r="A569" s="78">
        <v>43822</v>
      </c>
      <c r="B569" s="79" t="s">
        <v>101</v>
      </c>
      <c r="C569" s="80" t="s">
        <v>84</v>
      </c>
    </row>
    <row r="570" spans="1:3">
      <c r="A570" s="78">
        <v>43823</v>
      </c>
      <c r="B570" s="79" t="s">
        <v>102</v>
      </c>
      <c r="C570" s="80" t="s">
        <v>84</v>
      </c>
    </row>
    <row r="571" spans="1:3">
      <c r="A571" s="78">
        <v>43824</v>
      </c>
      <c r="B571" s="79" t="s">
        <v>103</v>
      </c>
      <c r="C571" s="80" t="s">
        <v>84</v>
      </c>
    </row>
    <row r="572" spans="1:3">
      <c r="A572" s="78">
        <v>43825</v>
      </c>
      <c r="B572" s="79" t="s">
        <v>104</v>
      </c>
      <c r="C572" s="80" t="s">
        <v>84</v>
      </c>
    </row>
    <row r="573" spans="1:3">
      <c r="A573" s="78">
        <v>43826</v>
      </c>
      <c r="B573" s="79" t="s">
        <v>105</v>
      </c>
      <c r="C573" s="80" t="s">
        <v>84</v>
      </c>
    </row>
    <row r="574" spans="1:3">
      <c r="A574" s="78">
        <v>43827</v>
      </c>
      <c r="B574" s="79" t="s">
        <v>106</v>
      </c>
      <c r="C574" s="80" t="s">
        <v>84</v>
      </c>
    </row>
    <row r="575" spans="1:3">
      <c r="A575" s="78">
        <v>43828</v>
      </c>
      <c r="B575" s="79" t="s">
        <v>107</v>
      </c>
      <c r="C575" s="80" t="s">
        <v>84</v>
      </c>
    </row>
    <row r="576" spans="1:3">
      <c r="A576" s="78">
        <v>43829</v>
      </c>
      <c r="B576" s="79" t="s">
        <v>108</v>
      </c>
      <c r="C576" s="80" t="s">
        <v>84</v>
      </c>
    </row>
    <row r="577" spans="1:3">
      <c r="A577" s="78">
        <v>43837</v>
      </c>
      <c r="B577" s="79" t="s">
        <v>109</v>
      </c>
      <c r="C577" s="80" t="s">
        <v>84</v>
      </c>
    </row>
    <row r="578" spans="1:3">
      <c r="A578" s="78">
        <v>43857</v>
      </c>
      <c r="B578" s="79" t="s">
        <v>110</v>
      </c>
      <c r="C578" s="80" t="s">
        <v>111</v>
      </c>
    </row>
    <row r="579" spans="1:3">
      <c r="A579" s="78">
        <v>43871</v>
      </c>
      <c r="B579" s="79" t="s">
        <v>112</v>
      </c>
      <c r="C579" s="80" t="s">
        <v>84</v>
      </c>
    </row>
    <row r="580" spans="1:3">
      <c r="A580" s="78">
        <v>43899</v>
      </c>
      <c r="B580" s="79" t="s">
        <v>113</v>
      </c>
      <c r="C580" s="80" t="s">
        <v>84</v>
      </c>
    </row>
    <row r="581" spans="1:3">
      <c r="A581" s="78">
        <v>43900</v>
      </c>
      <c r="B581" s="79" t="s">
        <v>114</v>
      </c>
      <c r="C581" s="80" t="s">
        <v>84</v>
      </c>
    </row>
    <row r="582" spans="1:3">
      <c r="A582" s="78">
        <v>43901</v>
      </c>
      <c r="B582" s="79" t="s">
        <v>115</v>
      </c>
      <c r="C582" s="80" t="s">
        <v>84</v>
      </c>
    </row>
    <row r="583" spans="1:3">
      <c r="A583" s="78">
        <v>43929</v>
      </c>
      <c r="B583" s="79" t="s">
        <v>116</v>
      </c>
      <c r="C583" s="80" t="s">
        <v>84</v>
      </c>
    </row>
    <row r="584" spans="1:3">
      <c r="A584" s="78">
        <v>43930</v>
      </c>
      <c r="B584" s="79" t="s">
        <v>117</v>
      </c>
      <c r="C584" s="80" t="s">
        <v>84</v>
      </c>
    </row>
    <row r="585" spans="1:3">
      <c r="A585" s="78">
        <v>43931</v>
      </c>
      <c r="B585" s="79" t="s">
        <v>118</v>
      </c>
      <c r="C585" s="80" t="s">
        <v>84</v>
      </c>
    </row>
    <row r="586" spans="1:3">
      <c r="A586" s="78">
        <v>43932</v>
      </c>
      <c r="B586" s="79" t="s">
        <v>119</v>
      </c>
      <c r="C586" s="80" t="s">
        <v>84</v>
      </c>
    </row>
    <row r="587" spans="1:3">
      <c r="A587" s="78">
        <v>43933</v>
      </c>
      <c r="B587" s="79" t="s">
        <v>120</v>
      </c>
      <c r="C587" s="80" t="s">
        <v>84</v>
      </c>
    </row>
    <row r="588" spans="1:3">
      <c r="A588" s="78">
        <v>43934</v>
      </c>
      <c r="B588" s="79" t="s">
        <v>121</v>
      </c>
      <c r="C588" s="80" t="s">
        <v>84</v>
      </c>
    </row>
    <row r="589" spans="1:3">
      <c r="A589" s="78">
        <v>43935</v>
      </c>
      <c r="B589" s="79" t="s">
        <v>122</v>
      </c>
      <c r="C589" s="80" t="s">
        <v>84</v>
      </c>
    </row>
    <row r="590" spans="1:3">
      <c r="A590" s="78">
        <v>43936</v>
      </c>
      <c r="B590" s="79" t="s">
        <v>123</v>
      </c>
      <c r="C590" s="80" t="s">
        <v>84</v>
      </c>
    </row>
    <row r="591" spans="1:3">
      <c r="A591" s="78">
        <v>43937</v>
      </c>
      <c r="B591" s="79" t="s">
        <v>124</v>
      </c>
      <c r="C591" s="80" t="s">
        <v>84</v>
      </c>
    </row>
    <row r="592" spans="1:3">
      <c r="A592" s="78">
        <v>43942</v>
      </c>
      <c r="B592" s="79" t="s">
        <v>125</v>
      </c>
      <c r="C592" s="80" t="s">
        <v>100</v>
      </c>
    </row>
    <row r="593" spans="1:3">
      <c r="A593" s="78">
        <v>43949</v>
      </c>
      <c r="B593" s="79" t="s">
        <v>126</v>
      </c>
      <c r="C593" s="80" t="s">
        <v>100</v>
      </c>
    </row>
    <row r="594" spans="1:3">
      <c r="A594" s="78">
        <v>43950</v>
      </c>
      <c r="B594" s="79" t="s">
        <v>127</v>
      </c>
      <c r="C594" s="80" t="s">
        <v>100</v>
      </c>
    </row>
    <row r="595" spans="1:3">
      <c r="A595" s="78">
        <v>43963</v>
      </c>
      <c r="B595" s="79" t="s">
        <v>128</v>
      </c>
      <c r="C595" s="80" t="s">
        <v>84</v>
      </c>
    </row>
    <row r="596" spans="1:3">
      <c r="A596" s="78">
        <v>43973</v>
      </c>
      <c r="B596" s="79" t="s">
        <v>129</v>
      </c>
      <c r="C596" s="80" t="s">
        <v>100</v>
      </c>
    </row>
    <row r="597" spans="1:3">
      <c r="A597" s="78">
        <v>43979</v>
      </c>
      <c r="B597" s="79" t="s">
        <v>130</v>
      </c>
      <c r="C597" s="80" t="s">
        <v>84</v>
      </c>
    </row>
    <row r="598" spans="1:3">
      <c r="A598" s="78">
        <v>43980</v>
      </c>
      <c r="B598" s="79" t="s">
        <v>131</v>
      </c>
      <c r="C598" s="80" t="s">
        <v>84</v>
      </c>
    </row>
    <row r="599" spans="1:3">
      <c r="A599" s="78">
        <v>43981</v>
      </c>
      <c r="B599" s="79" t="s">
        <v>132</v>
      </c>
      <c r="C599" s="80" t="s">
        <v>84</v>
      </c>
    </row>
    <row r="600" spans="1:3">
      <c r="A600" s="78">
        <v>44021</v>
      </c>
      <c r="B600" s="79" t="s">
        <v>133</v>
      </c>
      <c r="C600" s="80" t="s">
        <v>84</v>
      </c>
    </row>
    <row r="601" spans="1:3">
      <c r="A601" s="78">
        <v>44042</v>
      </c>
      <c r="B601" s="79" t="s">
        <v>134</v>
      </c>
      <c r="C601" s="80" t="s">
        <v>84</v>
      </c>
    </row>
    <row r="602" spans="1:3">
      <c r="A602" s="78">
        <v>44092</v>
      </c>
      <c r="B602" s="79" t="s">
        <v>135</v>
      </c>
      <c r="C602" s="80" t="s">
        <v>84</v>
      </c>
    </row>
    <row r="603" spans="1:3">
      <c r="A603" s="78">
        <v>44093</v>
      </c>
      <c r="B603" s="79" t="s">
        <v>83</v>
      </c>
      <c r="C603" s="80" t="s">
        <v>84</v>
      </c>
    </row>
    <row r="604" spans="1:3">
      <c r="A604" s="78">
        <v>44094</v>
      </c>
      <c r="B604" s="79" t="s">
        <v>85</v>
      </c>
      <c r="C604" s="80" t="s">
        <v>84</v>
      </c>
    </row>
    <row r="605" spans="1:3">
      <c r="A605" s="78">
        <v>44101</v>
      </c>
      <c r="B605" s="79" t="s">
        <v>87</v>
      </c>
      <c r="C605" s="80" t="s">
        <v>84</v>
      </c>
    </row>
    <row r="606" spans="1:3">
      <c r="A606" s="78">
        <v>44102</v>
      </c>
      <c r="B606" s="79" t="s">
        <v>88</v>
      </c>
      <c r="C606" s="80" t="s">
        <v>84</v>
      </c>
    </row>
    <row r="607" spans="1:3">
      <c r="A607" s="78">
        <v>44106</v>
      </c>
      <c r="B607" s="79" t="s">
        <v>89</v>
      </c>
      <c r="C607" s="80" t="s">
        <v>84</v>
      </c>
    </row>
    <row r="608" spans="1:3">
      <c r="A608" s="78">
        <v>44107</v>
      </c>
      <c r="B608" s="79" t="s">
        <v>90</v>
      </c>
      <c r="C608" s="80" t="s">
        <v>84</v>
      </c>
    </row>
    <row r="609" spans="1:3">
      <c r="A609" s="78">
        <v>44108</v>
      </c>
      <c r="B609" s="79" t="s">
        <v>91</v>
      </c>
      <c r="C609" s="80" t="s">
        <v>84</v>
      </c>
    </row>
    <row r="610" spans="1:3">
      <c r="A610" s="78">
        <v>44109</v>
      </c>
      <c r="B610" s="79" t="s">
        <v>92</v>
      </c>
      <c r="C610" s="80" t="s">
        <v>84</v>
      </c>
    </row>
    <row r="611" spans="1:3">
      <c r="A611" s="78">
        <v>44110</v>
      </c>
      <c r="B611" s="79" t="s">
        <v>93</v>
      </c>
      <c r="C611" s="80" t="s">
        <v>84</v>
      </c>
    </row>
    <row r="612" spans="1:3">
      <c r="A612" s="78">
        <v>44111</v>
      </c>
      <c r="B612" s="79" t="s">
        <v>94</v>
      </c>
      <c r="C612" s="80" t="s">
        <v>84</v>
      </c>
    </row>
    <row r="613" spans="1:3">
      <c r="A613" s="78">
        <v>44112</v>
      </c>
      <c r="B613" s="79" t="s">
        <v>95</v>
      </c>
      <c r="C613" s="80" t="s">
        <v>84</v>
      </c>
    </row>
    <row r="614" spans="1:3">
      <c r="A614" s="78">
        <v>44113</v>
      </c>
      <c r="B614" s="79" t="s">
        <v>96</v>
      </c>
      <c r="C614" s="80" t="s">
        <v>84</v>
      </c>
    </row>
    <row r="615" spans="1:3">
      <c r="A615" s="78">
        <v>44114</v>
      </c>
      <c r="B615" s="79" t="s">
        <v>97</v>
      </c>
      <c r="C615" s="80" t="s">
        <v>84</v>
      </c>
    </row>
    <row r="616" spans="1:3">
      <c r="A616" s="78">
        <v>44115</v>
      </c>
      <c r="B616" s="79" t="s">
        <v>98</v>
      </c>
      <c r="C616" s="80" t="s">
        <v>84</v>
      </c>
    </row>
    <row r="617" spans="1:3">
      <c r="A617" s="78">
        <v>44176</v>
      </c>
      <c r="B617" s="79" t="s">
        <v>101</v>
      </c>
      <c r="C617" s="80" t="s">
        <v>84</v>
      </c>
    </row>
    <row r="618" spans="1:3">
      <c r="A618" s="78">
        <v>44177</v>
      </c>
      <c r="B618" s="79" t="s">
        <v>102</v>
      </c>
      <c r="C618" s="80" t="s">
        <v>84</v>
      </c>
    </row>
    <row r="619" spans="1:3">
      <c r="A619" s="78">
        <v>44178</v>
      </c>
      <c r="B619" s="79" t="s">
        <v>103</v>
      </c>
      <c r="C619" s="80" t="s">
        <v>84</v>
      </c>
    </row>
    <row r="620" spans="1:3">
      <c r="A620" s="78">
        <v>44179</v>
      </c>
      <c r="B620" s="79" t="s">
        <v>104</v>
      </c>
      <c r="C620" s="80" t="s">
        <v>84</v>
      </c>
    </row>
    <row r="621" spans="1:3">
      <c r="A621" s="78">
        <v>44180</v>
      </c>
      <c r="B621" s="79" t="s">
        <v>105</v>
      </c>
      <c r="C621" s="80" t="s">
        <v>84</v>
      </c>
    </row>
    <row r="622" spans="1:3">
      <c r="A622" s="78">
        <v>44181</v>
      </c>
      <c r="B622" s="79" t="s">
        <v>106</v>
      </c>
      <c r="C622" s="80" t="s">
        <v>84</v>
      </c>
    </row>
    <row r="623" spans="1:3">
      <c r="A623" s="78">
        <v>44182</v>
      </c>
      <c r="B623" s="79" t="s">
        <v>107</v>
      </c>
      <c r="C623" s="80" t="s">
        <v>84</v>
      </c>
    </row>
    <row r="624" spans="1:3">
      <c r="A624" s="78">
        <v>44183</v>
      </c>
      <c r="B624" s="79" t="s">
        <v>108</v>
      </c>
      <c r="C624" s="80" t="s">
        <v>84</v>
      </c>
    </row>
    <row r="625" spans="1:3">
      <c r="A625" s="78">
        <v>44223</v>
      </c>
      <c r="B625" s="79" t="s">
        <v>110</v>
      </c>
      <c r="C625" s="80" t="s">
        <v>111</v>
      </c>
    </row>
    <row r="626" spans="1:3">
      <c r="A626" s="78">
        <v>44224</v>
      </c>
      <c r="B626" s="79" t="s">
        <v>112</v>
      </c>
      <c r="C626" s="80" t="s">
        <v>84</v>
      </c>
    </row>
    <row r="627" spans="1:3">
      <c r="A627" s="78">
        <v>44446</v>
      </c>
      <c r="B627" s="79" t="s">
        <v>83</v>
      </c>
      <c r="C627" s="80" t="s">
        <v>84</v>
      </c>
    </row>
    <row r="628" spans="1:3">
      <c r="A628" s="78">
        <v>44447</v>
      </c>
      <c r="B628" s="79" t="s">
        <v>85</v>
      </c>
      <c r="C628" s="80" t="s">
        <v>84</v>
      </c>
    </row>
    <row r="629" spans="1:3">
      <c r="A629" s="78">
        <v>44454</v>
      </c>
      <c r="B629" s="79" t="s">
        <v>87</v>
      </c>
      <c r="C629" s="80" t="s">
        <v>84</v>
      </c>
    </row>
    <row r="630" spans="1:3">
      <c r="A630" s="78">
        <v>44455</v>
      </c>
      <c r="B630" s="79" t="s">
        <v>88</v>
      </c>
      <c r="C630" s="80" t="s">
        <v>84</v>
      </c>
    </row>
    <row r="631" spans="1:3">
      <c r="A631" s="78">
        <v>44459</v>
      </c>
      <c r="B631" s="79" t="s">
        <v>89</v>
      </c>
      <c r="C631" s="80" t="s">
        <v>84</v>
      </c>
    </row>
    <row r="632" spans="1:3">
      <c r="A632" s="78">
        <v>44460</v>
      </c>
      <c r="B632" s="79" t="s">
        <v>90</v>
      </c>
      <c r="C632" s="80" t="s">
        <v>84</v>
      </c>
    </row>
    <row r="633" spans="1:3">
      <c r="A633" s="78">
        <v>44461</v>
      </c>
      <c r="B633" s="79" t="s">
        <v>91</v>
      </c>
      <c r="C633" s="80" t="s">
        <v>84</v>
      </c>
    </row>
    <row r="634" spans="1:3">
      <c r="A634" s="78">
        <v>44462</v>
      </c>
      <c r="B634" s="79" t="s">
        <v>92</v>
      </c>
      <c r="C634" s="80" t="s">
        <v>84</v>
      </c>
    </row>
    <row r="635" spans="1:3">
      <c r="A635" s="78">
        <v>44463</v>
      </c>
      <c r="B635" s="79" t="s">
        <v>93</v>
      </c>
      <c r="C635" s="80" t="s">
        <v>84</v>
      </c>
    </row>
    <row r="636" spans="1:3">
      <c r="A636" s="78">
        <v>44464</v>
      </c>
      <c r="B636" s="79" t="s">
        <v>94</v>
      </c>
      <c r="C636" s="80" t="s">
        <v>84</v>
      </c>
    </row>
    <row r="637" spans="1:3">
      <c r="A637" s="78">
        <v>44465</v>
      </c>
      <c r="B637" s="79" t="s">
        <v>95</v>
      </c>
      <c r="C637" s="80" t="s">
        <v>84</v>
      </c>
    </row>
    <row r="638" spans="1:3">
      <c r="A638" s="78">
        <v>44466</v>
      </c>
      <c r="B638" s="79" t="s">
        <v>96</v>
      </c>
      <c r="C638" s="80" t="s">
        <v>84</v>
      </c>
    </row>
    <row r="639" spans="1:3">
      <c r="A639" s="78">
        <v>44467</v>
      </c>
      <c r="B639" s="79" t="s">
        <v>97</v>
      </c>
      <c r="C639" s="80" t="s">
        <v>84</v>
      </c>
    </row>
    <row r="640" spans="1:3">
      <c r="A640" s="78">
        <v>44468</v>
      </c>
      <c r="B640" s="79" t="s">
        <v>98</v>
      </c>
      <c r="C640" s="80" t="s">
        <v>84</v>
      </c>
    </row>
    <row r="641" spans="1:3">
      <c r="A641" s="78">
        <v>44529</v>
      </c>
      <c r="B641" s="79" t="s">
        <v>101</v>
      </c>
      <c r="C641" s="80" t="s">
        <v>84</v>
      </c>
    </row>
    <row r="642" spans="1:3">
      <c r="A642" s="78">
        <v>44530</v>
      </c>
      <c r="B642" s="79" t="s">
        <v>102</v>
      </c>
      <c r="C642" s="80" t="s">
        <v>84</v>
      </c>
    </row>
    <row r="643" spans="1:3">
      <c r="A643" s="78">
        <v>44531</v>
      </c>
      <c r="B643" s="79" t="s">
        <v>103</v>
      </c>
      <c r="C643" s="80" t="s">
        <v>84</v>
      </c>
    </row>
    <row r="644" spans="1:3">
      <c r="A644" s="78">
        <v>44532</v>
      </c>
      <c r="B644" s="79" t="s">
        <v>104</v>
      </c>
      <c r="C644" s="80" t="s">
        <v>84</v>
      </c>
    </row>
    <row r="645" spans="1:3">
      <c r="A645" s="78">
        <v>44533</v>
      </c>
      <c r="B645" s="79" t="s">
        <v>105</v>
      </c>
      <c r="C645" s="80" t="s">
        <v>84</v>
      </c>
    </row>
    <row r="646" spans="1:3">
      <c r="A646" s="78">
        <v>44534</v>
      </c>
      <c r="B646" s="79" t="s">
        <v>106</v>
      </c>
      <c r="C646" s="80" t="s">
        <v>84</v>
      </c>
    </row>
    <row r="647" spans="1:3">
      <c r="A647" s="78">
        <v>44535</v>
      </c>
      <c r="B647" s="79" t="s">
        <v>107</v>
      </c>
      <c r="C647" s="80" t="s">
        <v>84</v>
      </c>
    </row>
    <row r="648" spans="1:3">
      <c r="A648" s="78">
        <v>44536</v>
      </c>
      <c r="B648" s="79" t="s">
        <v>108</v>
      </c>
      <c r="C648" s="80" t="s">
        <v>84</v>
      </c>
    </row>
    <row r="649" spans="1:3">
      <c r="A649" s="78">
        <v>44578</v>
      </c>
      <c r="B649" s="79" t="s">
        <v>112</v>
      </c>
      <c r="C649" s="80" t="s">
        <v>84</v>
      </c>
    </row>
    <row r="650" spans="1:3">
      <c r="A650" s="78">
        <v>44588</v>
      </c>
      <c r="B650" s="79" t="s">
        <v>110</v>
      </c>
      <c r="C650" s="80" t="s">
        <v>111</v>
      </c>
    </row>
    <row r="651" spans="1:3">
      <c r="A651" s="78">
        <v>44830</v>
      </c>
      <c r="B651" s="79" t="s">
        <v>83</v>
      </c>
      <c r="C651" s="80" t="s">
        <v>84</v>
      </c>
    </row>
    <row r="652" spans="1:3">
      <c r="A652" s="78">
        <v>44831</v>
      </c>
      <c r="B652" s="79" t="s">
        <v>85</v>
      </c>
      <c r="C652" s="80" t="s">
        <v>84</v>
      </c>
    </row>
    <row r="653" spans="1:3">
      <c r="A653" s="78">
        <v>44838</v>
      </c>
      <c r="B653" s="79" t="s">
        <v>87</v>
      </c>
      <c r="C653" s="80" t="s">
        <v>84</v>
      </c>
    </row>
    <row r="654" spans="1:3">
      <c r="A654" s="78">
        <v>44839</v>
      </c>
      <c r="B654" s="79" t="s">
        <v>88</v>
      </c>
      <c r="C654" s="80" t="s">
        <v>84</v>
      </c>
    </row>
    <row r="655" spans="1:3">
      <c r="A655" s="78">
        <v>44843</v>
      </c>
      <c r="B655" s="79" t="s">
        <v>89</v>
      </c>
      <c r="C655" s="80" t="s">
        <v>84</v>
      </c>
    </row>
    <row r="656" spans="1:3">
      <c r="A656" s="78">
        <v>44844</v>
      </c>
      <c r="B656" s="79" t="s">
        <v>90</v>
      </c>
      <c r="C656" s="80" t="s">
        <v>84</v>
      </c>
    </row>
    <row r="657" spans="1:3">
      <c r="A657" s="78">
        <v>44845</v>
      </c>
      <c r="B657" s="79" t="s">
        <v>91</v>
      </c>
      <c r="C657" s="80" t="s">
        <v>84</v>
      </c>
    </row>
    <row r="658" spans="1:3">
      <c r="A658" s="78">
        <v>44846</v>
      </c>
      <c r="B658" s="79" t="s">
        <v>92</v>
      </c>
      <c r="C658" s="80" t="s">
        <v>84</v>
      </c>
    </row>
    <row r="659" spans="1:3">
      <c r="A659" s="78">
        <v>44847</v>
      </c>
      <c r="B659" s="79" t="s">
        <v>93</v>
      </c>
      <c r="C659" s="80" t="s">
        <v>84</v>
      </c>
    </row>
    <row r="660" spans="1:3">
      <c r="A660" s="78">
        <v>44848</v>
      </c>
      <c r="B660" s="79" t="s">
        <v>94</v>
      </c>
      <c r="C660" s="80" t="s">
        <v>84</v>
      </c>
    </row>
    <row r="661" spans="1:3">
      <c r="A661" s="78">
        <v>44849</v>
      </c>
      <c r="B661" s="79" t="s">
        <v>95</v>
      </c>
      <c r="C661" s="80" t="s">
        <v>84</v>
      </c>
    </row>
    <row r="662" spans="1:3">
      <c r="A662" s="78">
        <v>44850</v>
      </c>
      <c r="B662" s="79" t="s">
        <v>96</v>
      </c>
      <c r="C662" s="80" t="s">
        <v>84</v>
      </c>
    </row>
    <row r="663" spans="1:3">
      <c r="A663" s="78">
        <v>44851</v>
      </c>
      <c r="B663" s="79" t="s">
        <v>97</v>
      </c>
      <c r="C663" s="80" t="s">
        <v>84</v>
      </c>
    </row>
    <row r="664" spans="1:3">
      <c r="A664" s="78">
        <v>44852</v>
      </c>
      <c r="B664" s="79" t="s">
        <v>98</v>
      </c>
      <c r="C664" s="80" t="s">
        <v>84</v>
      </c>
    </row>
    <row r="665" spans="1:3">
      <c r="A665" s="78">
        <v>44914</v>
      </c>
      <c r="B665" s="79" t="s">
        <v>101</v>
      </c>
      <c r="C665" s="80" t="s">
        <v>84</v>
      </c>
    </row>
    <row r="666" spans="1:3">
      <c r="A666" s="78">
        <v>44915</v>
      </c>
      <c r="B666" s="79" t="s">
        <v>102</v>
      </c>
      <c r="C666" s="80" t="s">
        <v>84</v>
      </c>
    </row>
    <row r="667" spans="1:3">
      <c r="A667" s="78">
        <v>44916</v>
      </c>
      <c r="B667" s="79" t="s">
        <v>103</v>
      </c>
      <c r="C667" s="80" t="s">
        <v>84</v>
      </c>
    </row>
    <row r="668" spans="1:3">
      <c r="A668" s="78">
        <v>44917</v>
      </c>
      <c r="B668" s="79" t="s">
        <v>104</v>
      </c>
      <c r="C668" s="80" t="s">
        <v>84</v>
      </c>
    </row>
    <row r="669" spans="1:3">
      <c r="A669" s="78">
        <v>44918</v>
      </c>
      <c r="B669" s="79" t="s">
        <v>105</v>
      </c>
      <c r="C669" s="80" t="s">
        <v>84</v>
      </c>
    </row>
    <row r="670" spans="1:3">
      <c r="A670" s="78">
        <v>44919</v>
      </c>
      <c r="B670" s="79" t="s">
        <v>106</v>
      </c>
      <c r="C670" s="80" t="s">
        <v>84</v>
      </c>
    </row>
    <row r="671" spans="1:3">
      <c r="A671" s="78">
        <v>44920</v>
      </c>
      <c r="B671" s="79" t="s">
        <v>107</v>
      </c>
      <c r="C671" s="80" t="s">
        <v>84</v>
      </c>
    </row>
    <row r="672" spans="1:3">
      <c r="A672" s="78">
        <v>44921</v>
      </c>
      <c r="B672" s="79" t="s">
        <v>108</v>
      </c>
      <c r="C672" s="80" t="s">
        <v>84</v>
      </c>
    </row>
    <row r="673" spans="1:3">
      <c r="A673" s="78">
        <v>44953</v>
      </c>
      <c r="B673" s="79" t="s">
        <v>110</v>
      </c>
      <c r="C673" s="80" t="s">
        <v>111</v>
      </c>
    </row>
    <row r="674" spans="1:3">
      <c r="A674" s="78">
        <v>44963</v>
      </c>
      <c r="B674" s="79" t="s">
        <v>112</v>
      </c>
      <c r="C674" s="80" t="s">
        <v>84</v>
      </c>
    </row>
    <row r="675" spans="1:3">
      <c r="A675" s="78">
        <v>45185</v>
      </c>
      <c r="B675" s="79" t="s">
        <v>83</v>
      </c>
      <c r="C675" s="80" t="s">
        <v>84</v>
      </c>
    </row>
    <row r="676" spans="1:3">
      <c r="A676" s="78">
        <v>45186</v>
      </c>
      <c r="B676" s="79" t="s">
        <v>85</v>
      </c>
      <c r="C676" s="80" t="s">
        <v>84</v>
      </c>
    </row>
    <row r="677" spans="1:3">
      <c r="A677" s="78">
        <v>45193</v>
      </c>
      <c r="B677" s="79" t="s">
        <v>87</v>
      </c>
      <c r="C677" s="80" t="s">
        <v>84</v>
      </c>
    </row>
    <row r="678" spans="1:3">
      <c r="A678" s="78">
        <v>45194</v>
      </c>
      <c r="B678" s="79" t="s">
        <v>88</v>
      </c>
      <c r="C678" s="80" t="s">
        <v>84</v>
      </c>
    </row>
    <row r="679" spans="1:3">
      <c r="A679" s="78">
        <v>45198</v>
      </c>
      <c r="B679" s="79" t="s">
        <v>89</v>
      </c>
      <c r="C679" s="80" t="s">
        <v>84</v>
      </c>
    </row>
    <row r="680" spans="1:3">
      <c r="A680" s="78">
        <v>45199</v>
      </c>
      <c r="B680" s="79" t="s">
        <v>90</v>
      </c>
      <c r="C680" s="80" t="s">
        <v>84</v>
      </c>
    </row>
    <row r="681" spans="1:3">
      <c r="A681" s="78">
        <v>45200</v>
      </c>
      <c r="B681" s="79" t="s">
        <v>91</v>
      </c>
      <c r="C681" s="80" t="s">
        <v>84</v>
      </c>
    </row>
    <row r="682" spans="1:3">
      <c r="A682" s="78">
        <v>45201</v>
      </c>
      <c r="B682" s="79" t="s">
        <v>92</v>
      </c>
      <c r="C682" s="80" t="s">
        <v>84</v>
      </c>
    </row>
    <row r="683" spans="1:3">
      <c r="A683" s="78">
        <v>45202</v>
      </c>
      <c r="B683" s="79" t="s">
        <v>93</v>
      </c>
      <c r="C683" s="80" t="s">
        <v>84</v>
      </c>
    </row>
    <row r="684" spans="1:3">
      <c r="A684" s="78">
        <v>45203</v>
      </c>
      <c r="B684" s="79" t="s">
        <v>94</v>
      </c>
      <c r="C684" s="80" t="s">
        <v>84</v>
      </c>
    </row>
    <row r="685" spans="1:3">
      <c r="A685" s="78">
        <v>45204</v>
      </c>
      <c r="B685" s="79" t="s">
        <v>95</v>
      </c>
      <c r="C685" s="80" t="s">
        <v>84</v>
      </c>
    </row>
    <row r="686" spans="1:3">
      <c r="A686" s="78">
        <v>45205</v>
      </c>
      <c r="B686" s="79" t="s">
        <v>96</v>
      </c>
      <c r="C686" s="80" t="s">
        <v>84</v>
      </c>
    </row>
    <row r="687" spans="1:3">
      <c r="A687" s="78">
        <v>45206</v>
      </c>
      <c r="B687" s="79" t="s">
        <v>97</v>
      </c>
      <c r="C687" s="80" t="s">
        <v>84</v>
      </c>
    </row>
    <row r="688" spans="1:3">
      <c r="A688" s="78">
        <v>45207</v>
      </c>
      <c r="B688" s="79" t="s">
        <v>98</v>
      </c>
      <c r="C688" s="80" t="s">
        <v>84</v>
      </c>
    </row>
    <row r="689" spans="1:3">
      <c r="A689" s="78">
        <v>45268</v>
      </c>
      <c r="B689" s="79" t="s">
        <v>101</v>
      </c>
      <c r="C689" s="80" t="s">
        <v>84</v>
      </c>
    </row>
    <row r="690" spans="1:3">
      <c r="A690" s="78">
        <v>45269</v>
      </c>
      <c r="B690" s="79" t="s">
        <v>102</v>
      </c>
      <c r="C690" s="80" t="s">
        <v>84</v>
      </c>
    </row>
    <row r="691" spans="1:3">
      <c r="A691" s="78">
        <v>45270</v>
      </c>
      <c r="B691" s="79" t="s">
        <v>103</v>
      </c>
      <c r="C691" s="80" t="s">
        <v>84</v>
      </c>
    </row>
    <row r="692" spans="1:3">
      <c r="A692" s="78">
        <v>45271</v>
      </c>
      <c r="B692" s="79" t="s">
        <v>104</v>
      </c>
      <c r="C692" s="80" t="s">
        <v>84</v>
      </c>
    </row>
    <row r="693" spans="1:3">
      <c r="A693" s="78">
        <v>45272</v>
      </c>
      <c r="B693" s="79" t="s">
        <v>105</v>
      </c>
      <c r="C693" s="80" t="s">
        <v>84</v>
      </c>
    </row>
    <row r="694" spans="1:3">
      <c r="A694" s="78">
        <v>45273</v>
      </c>
      <c r="B694" s="79" t="s">
        <v>106</v>
      </c>
      <c r="C694" s="80" t="s">
        <v>84</v>
      </c>
    </row>
    <row r="695" spans="1:3">
      <c r="A695" s="78">
        <v>45274</v>
      </c>
      <c r="B695" s="79" t="s">
        <v>107</v>
      </c>
      <c r="C695" s="80" t="s">
        <v>84</v>
      </c>
    </row>
    <row r="696" spans="1:3">
      <c r="A696" s="78">
        <v>45275</v>
      </c>
      <c r="B696" s="79" t="s">
        <v>108</v>
      </c>
      <c r="C696" s="80" t="s">
        <v>84</v>
      </c>
    </row>
    <row r="697" spans="1:3">
      <c r="A697" s="78">
        <v>45316</v>
      </c>
      <c r="B697" s="79" t="s">
        <v>112</v>
      </c>
      <c r="C697" s="80" t="s">
        <v>84</v>
      </c>
    </row>
    <row r="698" spans="1:3">
      <c r="A698" s="78">
        <v>45318</v>
      </c>
      <c r="B698" s="79" t="s">
        <v>110</v>
      </c>
      <c r="C698" s="80" t="s">
        <v>111</v>
      </c>
    </row>
    <row r="699" spans="1:3">
      <c r="A699" s="78">
        <v>45568</v>
      </c>
      <c r="B699" s="79" t="s">
        <v>83</v>
      </c>
      <c r="C699" s="80" t="s">
        <v>84</v>
      </c>
    </row>
    <row r="700" spans="1:3">
      <c r="A700" s="78">
        <v>45569</v>
      </c>
      <c r="B700" s="79" t="s">
        <v>85</v>
      </c>
      <c r="C700" s="80" t="s">
        <v>84</v>
      </c>
    </row>
    <row r="701" spans="1:3">
      <c r="A701" s="78">
        <v>45576</v>
      </c>
      <c r="B701" s="79" t="s">
        <v>87</v>
      </c>
      <c r="C701" s="80" t="s">
        <v>84</v>
      </c>
    </row>
    <row r="702" spans="1:3">
      <c r="A702" s="78">
        <v>45577</v>
      </c>
      <c r="B702" s="79" t="s">
        <v>88</v>
      </c>
      <c r="C702" s="80" t="s">
        <v>84</v>
      </c>
    </row>
    <row r="703" spans="1:3">
      <c r="A703" s="78">
        <v>45581</v>
      </c>
      <c r="B703" s="79" t="s">
        <v>89</v>
      </c>
      <c r="C703" s="80" t="s">
        <v>84</v>
      </c>
    </row>
    <row r="704" spans="1:3">
      <c r="A704" s="78">
        <v>45582</v>
      </c>
      <c r="B704" s="79" t="s">
        <v>90</v>
      </c>
      <c r="C704" s="80" t="s">
        <v>84</v>
      </c>
    </row>
    <row r="705" spans="1:3">
      <c r="A705" s="78">
        <v>45583</v>
      </c>
      <c r="B705" s="79" t="s">
        <v>91</v>
      </c>
      <c r="C705" s="80" t="s">
        <v>84</v>
      </c>
    </row>
    <row r="706" spans="1:3">
      <c r="A706" s="78">
        <v>45584</v>
      </c>
      <c r="B706" s="79" t="s">
        <v>92</v>
      </c>
      <c r="C706" s="80" t="s">
        <v>84</v>
      </c>
    </row>
    <row r="707" spans="1:3">
      <c r="A707" s="78">
        <v>45585</v>
      </c>
      <c r="B707" s="79" t="s">
        <v>93</v>
      </c>
      <c r="C707" s="80" t="s">
        <v>84</v>
      </c>
    </row>
    <row r="708" spans="1:3">
      <c r="A708" s="78">
        <v>45586</v>
      </c>
      <c r="B708" s="79" t="s">
        <v>94</v>
      </c>
      <c r="C708" s="80" t="s">
        <v>84</v>
      </c>
    </row>
    <row r="709" spans="1:3">
      <c r="A709" s="78">
        <v>45587</v>
      </c>
      <c r="B709" s="79" t="s">
        <v>95</v>
      </c>
      <c r="C709" s="80" t="s">
        <v>84</v>
      </c>
    </row>
    <row r="710" spans="1:3">
      <c r="A710" s="78">
        <v>45588</v>
      </c>
      <c r="B710" s="79" t="s">
        <v>96</v>
      </c>
      <c r="C710" s="80" t="s">
        <v>84</v>
      </c>
    </row>
    <row r="711" spans="1:3">
      <c r="A711" s="78">
        <v>45589</v>
      </c>
      <c r="B711" s="79" t="s">
        <v>97</v>
      </c>
      <c r="C711" s="80" t="s">
        <v>84</v>
      </c>
    </row>
    <row r="712" spans="1:3">
      <c r="A712" s="78">
        <v>45590</v>
      </c>
      <c r="B712" s="79" t="s">
        <v>98</v>
      </c>
      <c r="C712" s="80" t="s">
        <v>84</v>
      </c>
    </row>
    <row r="713" spans="1:3">
      <c r="A713" s="78">
        <v>45652</v>
      </c>
      <c r="B713" s="79" t="s">
        <v>101</v>
      </c>
      <c r="C713" s="80" t="s">
        <v>84</v>
      </c>
    </row>
    <row r="714" spans="1:3">
      <c r="A714" s="78">
        <v>45653</v>
      </c>
      <c r="B714" s="79" t="s">
        <v>102</v>
      </c>
      <c r="C714" s="80" t="s">
        <v>84</v>
      </c>
    </row>
    <row r="715" spans="1:3">
      <c r="A715" s="78">
        <v>45654</v>
      </c>
      <c r="B715" s="79" t="s">
        <v>103</v>
      </c>
      <c r="C715" s="80" t="s">
        <v>84</v>
      </c>
    </row>
    <row r="716" spans="1:3">
      <c r="A716" s="78">
        <v>45655</v>
      </c>
      <c r="B716" s="79" t="s">
        <v>104</v>
      </c>
      <c r="C716" s="80" t="s">
        <v>84</v>
      </c>
    </row>
    <row r="717" spans="1:3">
      <c r="A717" s="78">
        <v>45656</v>
      </c>
      <c r="B717" s="79" t="s">
        <v>105</v>
      </c>
      <c r="C717" s="80" t="s">
        <v>84</v>
      </c>
    </row>
    <row r="718" spans="1:3">
      <c r="A718" s="78">
        <v>45657</v>
      </c>
      <c r="B718" s="79" t="s">
        <v>106</v>
      </c>
      <c r="C718" s="80" t="s">
        <v>84</v>
      </c>
    </row>
    <row r="719" spans="1:3">
      <c r="A719" s="78">
        <v>45658</v>
      </c>
      <c r="B719" s="79" t="s">
        <v>107</v>
      </c>
      <c r="C719" s="80" t="s">
        <v>84</v>
      </c>
    </row>
    <row r="720" spans="1:3">
      <c r="A720" s="78">
        <v>45659</v>
      </c>
      <c r="B720" s="79" t="s">
        <v>108</v>
      </c>
      <c r="C720" s="80" t="s">
        <v>84</v>
      </c>
    </row>
    <row r="721" spans="1:3">
      <c r="A721" s="78">
        <v>45684</v>
      </c>
      <c r="B721" s="79" t="s">
        <v>110</v>
      </c>
      <c r="C721" s="80" t="s">
        <v>111</v>
      </c>
    </row>
    <row r="722" spans="1:3">
      <c r="A722" s="78">
        <v>45701</v>
      </c>
      <c r="B722" s="79" t="s">
        <v>112</v>
      </c>
      <c r="C722" s="80" t="s">
        <v>84</v>
      </c>
    </row>
    <row r="723" spans="1:3">
      <c r="A723" s="78">
        <v>45923</v>
      </c>
      <c r="B723" s="79" t="s">
        <v>83</v>
      </c>
      <c r="C723" s="80" t="s">
        <v>84</v>
      </c>
    </row>
    <row r="724" spans="1:3">
      <c r="A724" s="78">
        <v>45924</v>
      </c>
      <c r="B724" s="79" t="s">
        <v>85</v>
      </c>
      <c r="C724" s="80" t="s">
        <v>84</v>
      </c>
    </row>
    <row r="725" spans="1:3">
      <c r="A725" s="78">
        <v>45931</v>
      </c>
      <c r="B725" s="79" t="s">
        <v>87</v>
      </c>
      <c r="C725" s="80" t="s">
        <v>84</v>
      </c>
    </row>
    <row r="726" spans="1:3">
      <c r="A726" s="78">
        <v>45932</v>
      </c>
      <c r="B726" s="79" t="s">
        <v>88</v>
      </c>
      <c r="C726" s="80" t="s">
        <v>84</v>
      </c>
    </row>
    <row r="727" spans="1:3">
      <c r="A727" s="78">
        <v>45936</v>
      </c>
      <c r="B727" s="79" t="s">
        <v>89</v>
      </c>
      <c r="C727" s="80" t="s">
        <v>84</v>
      </c>
    </row>
    <row r="728" spans="1:3">
      <c r="A728" s="78">
        <v>45937</v>
      </c>
      <c r="B728" s="79" t="s">
        <v>90</v>
      </c>
      <c r="C728" s="80" t="s">
        <v>84</v>
      </c>
    </row>
    <row r="729" spans="1:3">
      <c r="A729" s="78">
        <v>45938</v>
      </c>
      <c r="B729" s="79" t="s">
        <v>91</v>
      </c>
      <c r="C729" s="80" t="s">
        <v>84</v>
      </c>
    </row>
    <row r="730" spans="1:3">
      <c r="A730" s="78">
        <v>45939</v>
      </c>
      <c r="B730" s="79" t="s">
        <v>92</v>
      </c>
      <c r="C730" s="80" t="s">
        <v>84</v>
      </c>
    </row>
    <row r="731" spans="1:3">
      <c r="A731" s="78">
        <v>45940</v>
      </c>
      <c r="B731" s="79" t="s">
        <v>93</v>
      </c>
      <c r="C731" s="80" t="s">
        <v>84</v>
      </c>
    </row>
    <row r="732" spans="1:3">
      <c r="A732" s="78">
        <v>45941</v>
      </c>
      <c r="B732" s="79" t="s">
        <v>94</v>
      </c>
      <c r="C732" s="80" t="s">
        <v>84</v>
      </c>
    </row>
    <row r="733" spans="1:3">
      <c r="A733" s="78">
        <v>45942</v>
      </c>
      <c r="B733" s="79" t="s">
        <v>95</v>
      </c>
      <c r="C733" s="80" t="s">
        <v>84</v>
      </c>
    </row>
    <row r="734" spans="1:3">
      <c r="A734" s="78">
        <v>45943</v>
      </c>
      <c r="B734" s="79" t="s">
        <v>96</v>
      </c>
      <c r="C734" s="80" t="s">
        <v>84</v>
      </c>
    </row>
    <row r="735" spans="1:3">
      <c r="A735" s="78">
        <v>45944</v>
      </c>
      <c r="B735" s="79" t="s">
        <v>97</v>
      </c>
      <c r="C735" s="80" t="s">
        <v>84</v>
      </c>
    </row>
    <row r="736" spans="1:3">
      <c r="A736" s="78">
        <v>45945</v>
      </c>
      <c r="B736" s="79" t="s">
        <v>98</v>
      </c>
      <c r="C736" s="80" t="s">
        <v>84</v>
      </c>
    </row>
    <row r="737" spans="1:3">
      <c r="A737" s="78">
        <v>46006</v>
      </c>
      <c r="B737" s="79" t="s">
        <v>101</v>
      </c>
      <c r="C737" s="80" t="s">
        <v>84</v>
      </c>
    </row>
    <row r="738" spans="1:3">
      <c r="A738" s="78">
        <v>46007</v>
      </c>
      <c r="B738" s="79" t="s">
        <v>102</v>
      </c>
      <c r="C738" s="80" t="s">
        <v>84</v>
      </c>
    </row>
    <row r="739" spans="1:3">
      <c r="A739" s="78">
        <v>46008</v>
      </c>
      <c r="B739" s="79" t="s">
        <v>103</v>
      </c>
      <c r="C739" s="80" t="s">
        <v>84</v>
      </c>
    </row>
    <row r="740" spans="1:3">
      <c r="A740" s="78">
        <v>46009</v>
      </c>
      <c r="B740" s="79" t="s">
        <v>104</v>
      </c>
      <c r="C740" s="80" t="s">
        <v>84</v>
      </c>
    </row>
    <row r="741" spans="1:3">
      <c r="A741" s="78">
        <v>46010</v>
      </c>
      <c r="B741" s="79" t="s">
        <v>105</v>
      </c>
      <c r="C741" s="80" t="s">
        <v>84</v>
      </c>
    </row>
    <row r="742" spans="1:3">
      <c r="A742" s="78">
        <v>46011</v>
      </c>
      <c r="B742" s="79" t="s">
        <v>106</v>
      </c>
      <c r="C742" s="80" t="s">
        <v>84</v>
      </c>
    </row>
    <row r="743" spans="1:3">
      <c r="A743" s="78">
        <v>46012</v>
      </c>
      <c r="B743" s="79" t="s">
        <v>107</v>
      </c>
      <c r="C743" s="80" t="s">
        <v>84</v>
      </c>
    </row>
    <row r="744" spans="1:3">
      <c r="A744" s="78">
        <v>46013</v>
      </c>
      <c r="B744" s="79" t="s">
        <v>108</v>
      </c>
      <c r="C744" s="80" t="s">
        <v>84</v>
      </c>
    </row>
    <row r="745" spans="1:3">
      <c r="A745" s="78">
        <v>46049</v>
      </c>
      <c r="B745" s="79" t="s">
        <v>110</v>
      </c>
      <c r="C745" s="80" t="s">
        <v>111</v>
      </c>
    </row>
    <row r="746" spans="1:3">
      <c r="A746" s="78">
        <v>46055</v>
      </c>
      <c r="B746" s="79" t="s">
        <v>112</v>
      </c>
      <c r="C746" s="80" t="s">
        <v>84</v>
      </c>
    </row>
    <row r="747" spans="1:3">
      <c r="A747" s="78">
        <v>46277</v>
      </c>
      <c r="B747" s="79" t="s">
        <v>83</v>
      </c>
      <c r="C747" s="80" t="s">
        <v>84</v>
      </c>
    </row>
    <row r="748" spans="1:3">
      <c r="A748" s="78">
        <v>46278</v>
      </c>
      <c r="B748" s="79" t="s">
        <v>85</v>
      </c>
      <c r="C748" s="80" t="s">
        <v>84</v>
      </c>
    </row>
    <row r="749" spans="1:3">
      <c r="A749" s="78">
        <v>46285</v>
      </c>
      <c r="B749" s="79" t="s">
        <v>87</v>
      </c>
      <c r="C749" s="80" t="s">
        <v>84</v>
      </c>
    </row>
    <row r="750" spans="1:3">
      <c r="A750" s="78">
        <v>46286</v>
      </c>
      <c r="B750" s="79" t="s">
        <v>88</v>
      </c>
      <c r="C750" s="80" t="s">
        <v>84</v>
      </c>
    </row>
    <row r="751" spans="1:3">
      <c r="A751" s="78">
        <v>46290</v>
      </c>
      <c r="B751" s="79" t="s">
        <v>89</v>
      </c>
      <c r="C751" s="80" t="s">
        <v>84</v>
      </c>
    </row>
    <row r="752" spans="1:3">
      <c r="A752" s="78">
        <v>46291</v>
      </c>
      <c r="B752" s="79" t="s">
        <v>90</v>
      </c>
      <c r="C752" s="80" t="s">
        <v>84</v>
      </c>
    </row>
    <row r="753" spans="1:3">
      <c r="A753" s="78">
        <v>46292</v>
      </c>
      <c r="B753" s="79" t="s">
        <v>91</v>
      </c>
      <c r="C753" s="80" t="s">
        <v>84</v>
      </c>
    </row>
    <row r="754" spans="1:3">
      <c r="A754" s="78">
        <v>46293</v>
      </c>
      <c r="B754" s="79" t="s">
        <v>92</v>
      </c>
      <c r="C754" s="80" t="s">
        <v>84</v>
      </c>
    </row>
    <row r="755" spans="1:3">
      <c r="A755" s="78">
        <v>46294</v>
      </c>
      <c r="B755" s="79" t="s">
        <v>93</v>
      </c>
      <c r="C755" s="80" t="s">
        <v>84</v>
      </c>
    </row>
    <row r="756" spans="1:3">
      <c r="A756" s="78">
        <v>46295</v>
      </c>
      <c r="B756" s="79" t="s">
        <v>94</v>
      </c>
      <c r="C756" s="80" t="s">
        <v>84</v>
      </c>
    </row>
    <row r="757" spans="1:3">
      <c r="A757" s="78">
        <v>46296</v>
      </c>
      <c r="B757" s="79" t="s">
        <v>95</v>
      </c>
      <c r="C757" s="80" t="s">
        <v>84</v>
      </c>
    </row>
    <row r="758" spans="1:3">
      <c r="A758" s="78">
        <v>46297</v>
      </c>
      <c r="B758" s="79" t="s">
        <v>96</v>
      </c>
      <c r="C758" s="80" t="s">
        <v>84</v>
      </c>
    </row>
    <row r="759" spans="1:3">
      <c r="A759" s="78">
        <v>46298</v>
      </c>
      <c r="B759" s="79" t="s">
        <v>97</v>
      </c>
      <c r="C759" s="80" t="s">
        <v>84</v>
      </c>
    </row>
    <row r="760" spans="1:3">
      <c r="A760" s="78">
        <v>46299</v>
      </c>
      <c r="B760" s="79" t="s">
        <v>98</v>
      </c>
      <c r="C760" s="80" t="s">
        <v>84</v>
      </c>
    </row>
    <row r="761" spans="1:3">
      <c r="A761" s="78">
        <v>46361</v>
      </c>
      <c r="B761" s="79" t="s">
        <v>101</v>
      </c>
      <c r="C761" s="80" t="s">
        <v>84</v>
      </c>
    </row>
    <row r="762" spans="1:3">
      <c r="A762" s="78">
        <v>46362</v>
      </c>
      <c r="B762" s="79" t="s">
        <v>102</v>
      </c>
      <c r="C762" s="80" t="s">
        <v>84</v>
      </c>
    </row>
    <row r="763" spans="1:3">
      <c r="A763" s="78">
        <v>46363</v>
      </c>
      <c r="B763" s="79" t="s">
        <v>103</v>
      </c>
      <c r="C763" s="80" t="s">
        <v>84</v>
      </c>
    </row>
    <row r="764" spans="1:3">
      <c r="A764" s="78">
        <v>46364</v>
      </c>
      <c r="B764" s="79" t="s">
        <v>104</v>
      </c>
      <c r="C764" s="80" t="s">
        <v>84</v>
      </c>
    </row>
    <row r="765" spans="1:3">
      <c r="A765" s="78">
        <v>46365</v>
      </c>
      <c r="B765" s="79" t="s">
        <v>105</v>
      </c>
      <c r="C765" s="80" t="s">
        <v>84</v>
      </c>
    </row>
    <row r="766" spans="1:3">
      <c r="A766" s="78">
        <v>46366</v>
      </c>
      <c r="B766" s="79" t="s">
        <v>106</v>
      </c>
      <c r="C766" s="80" t="s">
        <v>84</v>
      </c>
    </row>
    <row r="767" spans="1:3">
      <c r="A767" s="78">
        <v>46367</v>
      </c>
      <c r="B767" s="79" t="s">
        <v>107</v>
      </c>
      <c r="C767" s="80" t="s">
        <v>84</v>
      </c>
    </row>
    <row r="768" spans="1:3">
      <c r="A768" s="78">
        <v>46368</v>
      </c>
      <c r="B768" s="79" t="s">
        <v>108</v>
      </c>
      <c r="C768" s="80" t="s">
        <v>84</v>
      </c>
    </row>
    <row r="769" spans="1:3">
      <c r="A769" s="78">
        <v>46410</v>
      </c>
      <c r="B769" s="79" t="s">
        <v>112</v>
      </c>
      <c r="C769" s="80" t="s">
        <v>84</v>
      </c>
    </row>
    <row r="770" spans="1:3">
      <c r="A770" s="78">
        <v>46414</v>
      </c>
      <c r="B770" s="79" t="s">
        <v>110</v>
      </c>
      <c r="C770" s="80" t="s">
        <v>111</v>
      </c>
    </row>
    <row r="771" spans="1:3">
      <c r="A771" s="78">
        <v>46662</v>
      </c>
      <c r="B771" s="79" t="s">
        <v>83</v>
      </c>
      <c r="C771" s="80" t="s">
        <v>84</v>
      </c>
    </row>
    <row r="772" spans="1:3">
      <c r="A772" s="78">
        <v>46663</v>
      </c>
      <c r="B772" s="79" t="s">
        <v>85</v>
      </c>
      <c r="C772" s="80" t="s">
        <v>84</v>
      </c>
    </row>
    <row r="773" spans="1:3">
      <c r="A773" s="78">
        <v>46670</v>
      </c>
      <c r="B773" s="79" t="s">
        <v>87</v>
      </c>
      <c r="C773" s="80" t="s">
        <v>84</v>
      </c>
    </row>
    <row r="774" spans="1:3">
      <c r="A774" s="78">
        <v>46671</v>
      </c>
      <c r="B774" s="79" t="s">
        <v>88</v>
      </c>
      <c r="C774" s="80" t="s">
        <v>84</v>
      </c>
    </row>
    <row r="775" spans="1:3">
      <c r="A775" s="78">
        <v>46675</v>
      </c>
      <c r="B775" s="79" t="s">
        <v>89</v>
      </c>
      <c r="C775" s="80" t="s">
        <v>84</v>
      </c>
    </row>
    <row r="776" spans="1:3">
      <c r="A776" s="78">
        <v>46676</v>
      </c>
      <c r="B776" s="79" t="s">
        <v>90</v>
      </c>
      <c r="C776" s="80" t="s">
        <v>84</v>
      </c>
    </row>
    <row r="777" spans="1:3">
      <c r="A777" s="78">
        <v>46677</v>
      </c>
      <c r="B777" s="79" t="s">
        <v>91</v>
      </c>
      <c r="C777" s="80" t="s">
        <v>84</v>
      </c>
    </row>
    <row r="778" spans="1:3">
      <c r="A778" s="78">
        <v>46678</v>
      </c>
      <c r="B778" s="79" t="s">
        <v>92</v>
      </c>
      <c r="C778" s="80" t="s">
        <v>84</v>
      </c>
    </row>
    <row r="779" spans="1:3">
      <c r="A779" s="78">
        <v>46679</v>
      </c>
      <c r="B779" s="79" t="s">
        <v>93</v>
      </c>
      <c r="C779" s="80" t="s">
        <v>84</v>
      </c>
    </row>
    <row r="780" spans="1:3">
      <c r="A780" s="78">
        <v>46680</v>
      </c>
      <c r="B780" s="79" t="s">
        <v>94</v>
      </c>
      <c r="C780" s="80" t="s">
        <v>84</v>
      </c>
    </row>
    <row r="781" spans="1:3">
      <c r="A781" s="78">
        <v>46681</v>
      </c>
      <c r="B781" s="79" t="s">
        <v>95</v>
      </c>
      <c r="C781" s="80" t="s">
        <v>84</v>
      </c>
    </row>
    <row r="782" spans="1:3">
      <c r="A782" s="78">
        <v>46682</v>
      </c>
      <c r="B782" s="79" t="s">
        <v>96</v>
      </c>
      <c r="C782" s="80" t="s">
        <v>84</v>
      </c>
    </row>
    <row r="783" spans="1:3">
      <c r="A783" s="78">
        <v>46683</v>
      </c>
      <c r="B783" s="79" t="s">
        <v>97</v>
      </c>
      <c r="C783" s="80" t="s">
        <v>84</v>
      </c>
    </row>
    <row r="784" spans="1:3">
      <c r="A784" s="78">
        <v>46684</v>
      </c>
      <c r="B784" s="79" t="s">
        <v>98</v>
      </c>
      <c r="C784" s="80" t="s">
        <v>84</v>
      </c>
    </row>
    <row r="785" spans="1:3">
      <c r="A785" s="78">
        <v>46746</v>
      </c>
      <c r="B785" s="79" t="s">
        <v>101</v>
      </c>
      <c r="C785" s="80" t="s">
        <v>84</v>
      </c>
    </row>
    <row r="786" spans="1:3">
      <c r="A786" s="78">
        <v>46747</v>
      </c>
      <c r="B786" s="79" t="s">
        <v>102</v>
      </c>
      <c r="C786" s="80" t="s">
        <v>84</v>
      </c>
    </row>
    <row r="787" spans="1:3">
      <c r="A787" s="78">
        <v>46748</v>
      </c>
      <c r="B787" s="79" t="s">
        <v>103</v>
      </c>
      <c r="C787" s="80" t="s">
        <v>84</v>
      </c>
    </row>
    <row r="788" spans="1:3">
      <c r="A788" s="78">
        <v>46749</v>
      </c>
      <c r="B788" s="79" t="s">
        <v>104</v>
      </c>
      <c r="C788" s="80" t="s">
        <v>84</v>
      </c>
    </row>
    <row r="789" spans="1:3">
      <c r="A789" s="78">
        <v>46750</v>
      </c>
      <c r="B789" s="79" t="s">
        <v>105</v>
      </c>
      <c r="C789" s="80" t="s">
        <v>84</v>
      </c>
    </row>
    <row r="790" spans="1:3">
      <c r="A790" s="78">
        <v>46751</v>
      </c>
      <c r="B790" s="79" t="s">
        <v>106</v>
      </c>
      <c r="C790" s="80" t="s">
        <v>84</v>
      </c>
    </row>
    <row r="791" spans="1:3">
      <c r="A791" s="78">
        <v>46752</v>
      </c>
      <c r="B791" s="79" t="s">
        <v>107</v>
      </c>
      <c r="C791" s="80" t="s">
        <v>84</v>
      </c>
    </row>
    <row r="792" spans="1:3">
      <c r="A792" s="78">
        <v>46753</v>
      </c>
      <c r="B792" s="79" t="s">
        <v>108</v>
      </c>
      <c r="C792" s="80" t="s">
        <v>84</v>
      </c>
    </row>
    <row r="793" spans="1:3">
      <c r="A793" s="78">
        <v>46779</v>
      </c>
      <c r="B793" s="79" t="s">
        <v>110</v>
      </c>
      <c r="C793" s="80" t="s">
        <v>111</v>
      </c>
    </row>
    <row r="794" spans="1:3">
      <c r="A794" s="78">
        <v>46795</v>
      </c>
      <c r="B794" s="79" t="s">
        <v>112</v>
      </c>
      <c r="C794" s="80" t="s">
        <v>84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S70"/>
  <sheetViews>
    <sheetView rightToLeft="1" workbookViewId="0">
      <selection activeCell="T27" sqref="T27"/>
    </sheetView>
  </sheetViews>
  <sheetFormatPr baseColWidth="10" defaultColWidth="8.83203125" defaultRowHeight="15"/>
  <cols>
    <col min="1" max="1" width="10.6640625" bestFit="1" customWidth="1"/>
    <col min="3" max="3" width="11.1640625" bestFit="1" customWidth="1"/>
    <col min="5" max="5" width="8" bestFit="1" customWidth="1"/>
    <col min="8" max="8" width="13.6640625" bestFit="1" customWidth="1"/>
    <col min="16" max="16" width="14.1640625" bestFit="1" customWidth="1"/>
    <col min="17" max="17" width="12.6640625" bestFit="1" customWidth="1"/>
    <col min="18" max="18" width="6.1640625" bestFit="1" customWidth="1"/>
    <col min="19" max="19" width="8.1640625" bestFit="1" customWidth="1"/>
    <col min="20" max="20" width="7.1640625" bestFit="1" customWidth="1"/>
  </cols>
  <sheetData>
    <row r="1" spans="1:19">
      <c r="A1" t="s">
        <v>47</v>
      </c>
      <c r="B1" t="s">
        <v>2</v>
      </c>
      <c r="C1" t="s">
        <v>48</v>
      </c>
      <c r="D1" t="s">
        <v>49</v>
      </c>
      <c r="E1" t="s">
        <v>50</v>
      </c>
      <c r="F1" t="s">
        <v>51</v>
      </c>
      <c r="G1" t="s">
        <v>52</v>
      </c>
      <c r="H1" t="s">
        <v>53</v>
      </c>
      <c r="I1" t="s">
        <v>54</v>
      </c>
      <c r="J1" t="s">
        <v>55</v>
      </c>
      <c r="K1" t="s">
        <v>56</v>
      </c>
      <c r="L1" t="s">
        <v>57</v>
      </c>
      <c r="M1" t="s">
        <v>58</v>
      </c>
      <c r="N1" t="s">
        <v>59</v>
      </c>
    </row>
    <row r="2" spans="1:19">
      <c r="A2" s="73">
        <v>43405</v>
      </c>
      <c r="B2" t="s">
        <v>20</v>
      </c>
      <c r="C2" s="74">
        <v>0.33333333333333331</v>
      </c>
      <c r="D2" s="74">
        <v>0.36805555555555558</v>
      </c>
      <c r="E2">
        <v>0.83299999999999996</v>
      </c>
      <c r="F2">
        <v>50</v>
      </c>
      <c r="G2" t="s">
        <v>60</v>
      </c>
      <c r="H2" t="s">
        <v>61</v>
      </c>
      <c r="I2" t="s">
        <v>11</v>
      </c>
      <c r="J2" t="s">
        <v>62</v>
      </c>
      <c r="K2">
        <v>7</v>
      </c>
      <c r="L2">
        <v>7</v>
      </c>
      <c r="M2">
        <v>17</v>
      </c>
      <c r="N2" t="s">
        <v>63</v>
      </c>
    </row>
    <row r="3" spans="1:19">
      <c r="A3" s="73">
        <v>43405</v>
      </c>
      <c r="B3" t="s">
        <v>20</v>
      </c>
      <c r="C3" s="74">
        <v>0.75</v>
      </c>
      <c r="D3" s="74">
        <v>0.78472222222222221</v>
      </c>
      <c r="E3">
        <v>0.83299999999999996</v>
      </c>
      <c r="F3">
        <v>50</v>
      </c>
      <c r="G3" t="s">
        <v>60</v>
      </c>
      <c r="H3" t="s">
        <v>11</v>
      </c>
      <c r="I3" t="s">
        <v>11</v>
      </c>
      <c r="J3" t="s">
        <v>64</v>
      </c>
      <c r="K3">
        <v>10</v>
      </c>
      <c r="L3">
        <v>6</v>
      </c>
      <c r="M3">
        <v>31</v>
      </c>
      <c r="N3" t="s">
        <v>63</v>
      </c>
    </row>
    <row r="4" spans="1:19">
      <c r="A4" s="73">
        <v>43408</v>
      </c>
      <c r="B4" t="s">
        <v>21</v>
      </c>
      <c r="C4" s="74">
        <v>0.35416666666666669</v>
      </c>
      <c r="D4" s="74">
        <v>0.3888888888888889</v>
      </c>
      <c r="E4">
        <v>0.83299999999999996</v>
      </c>
      <c r="F4">
        <v>50</v>
      </c>
      <c r="G4" t="s">
        <v>60</v>
      </c>
      <c r="H4" t="s">
        <v>11</v>
      </c>
      <c r="I4" t="s">
        <v>11</v>
      </c>
      <c r="J4" t="s">
        <v>64</v>
      </c>
      <c r="K4">
        <v>10</v>
      </c>
      <c r="L4">
        <v>0</v>
      </c>
      <c r="M4">
        <v>6</v>
      </c>
      <c r="N4" t="s">
        <v>63</v>
      </c>
      <c r="P4" s="75" t="s">
        <v>79</v>
      </c>
      <c r="Q4" s="75" t="s">
        <v>80</v>
      </c>
    </row>
    <row r="5" spans="1:19">
      <c r="A5" s="73">
        <v>43408</v>
      </c>
      <c r="B5" t="s">
        <v>21</v>
      </c>
      <c r="C5" s="74">
        <v>0.75</v>
      </c>
      <c r="D5" s="74">
        <v>0.78472222222222221</v>
      </c>
      <c r="E5">
        <v>0.83299999999999996</v>
      </c>
      <c r="F5">
        <v>50</v>
      </c>
      <c r="G5" t="s">
        <v>60</v>
      </c>
      <c r="H5" t="s">
        <v>17</v>
      </c>
      <c r="I5" t="s">
        <v>11</v>
      </c>
      <c r="J5" t="s">
        <v>65</v>
      </c>
      <c r="K5">
        <v>12</v>
      </c>
      <c r="L5">
        <v>11</v>
      </c>
      <c r="M5">
        <v>0</v>
      </c>
      <c r="N5" t="s">
        <v>63</v>
      </c>
      <c r="P5" s="75" t="s">
        <v>77</v>
      </c>
      <c r="Q5" t="s">
        <v>74</v>
      </c>
      <c r="R5" t="s">
        <v>60</v>
      </c>
      <c r="S5" t="s">
        <v>78</v>
      </c>
    </row>
    <row r="6" spans="1:19">
      <c r="A6" s="73">
        <v>43408</v>
      </c>
      <c r="B6" t="s">
        <v>21</v>
      </c>
      <c r="C6" s="74">
        <v>0.79166666666666663</v>
      </c>
      <c r="D6" s="74">
        <v>0.82638888888888884</v>
      </c>
      <c r="E6">
        <v>0.83299999999999996</v>
      </c>
      <c r="F6">
        <v>50</v>
      </c>
      <c r="G6" t="s">
        <v>60</v>
      </c>
      <c r="H6" t="s">
        <v>14</v>
      </c>
      <c r="I6" t="s">
        <v>11</v>
      </c>
      <c r="J6" t="s">
        <v>62</v>
      </c>
      <c r="K6">
        <v>9</v>
      </c>
      <c r="L6">
        <v>9</v>
      </c>
      <c r="M6">
        <v>0</v>
      </c>
      <c r="N6" t="s">
        <v>63</v>
      </c>
      <c r="P6" s="76" t="s">
        <v>11</v>
      </c>
      <c r="R6">
        <v>3</v>
      </c>
      <c r="S6">
        <v>3</v>
      </c>
    </row>
    <row r="7" spans="1:19">
      <c r="A7" s="73">
        <v>43409</v>
      </c>
      <c r="B7" t="s">
        <v>22</v>
      </c>
      <c r="C7" s="74">
        <v>0.3125</v>
      </c>
      <c r="D7" s="74">
        <v>0.34722222222222227</v>
      </c>
      <c r="E7">
        <v>0.83299999999999996</v>
      </c>
      <c r="F7">
        <v>50</v>
      </c>
      <c r="G7" t="s">
        <v>60</v>
      </c>
      <c r="H7" t="s">
        <v>17</v>
      </c>
      <c r="I7" t="s">
        <v>11</v>
      </c>
      <c r="J7" t="s">
        <v>66</v>
      </c>
      <c r="K7">
        <v>9</v>
      </c>
      <c r="L7">
        <v>8</v>
      </c>
      <c r="M7">
        <v>0</v>
      </c>
      <c r="N7" t="s">
        <v>63</v>
      </c>
      <c r="P7" s="76" t="s">
        <v>13</v>
      </c>
      <c r="R7">
        <v>4</v>
      </c>
      <c r="S7">
        <v>4</v>
      </c>
    </row>
    <row r="8" spans="1:19">
      <c r="A8" s="73">
        <v>43409</v>
      </c>
      <c r="B8" t="s">
        <v>22</v>
      </c>
      <c r="C8" s="74">
        <v>0.35416666666666669</v>
      </c>
      <c r="D8" s="74">
        <v>0.3888888888888889</v>
      </c>
      <c r="E8">
        <v>0.83299999999999996</v>
      </c>
      <c r="F8">
        <v>50</v>
      </c>
      <c r="G8" t="s">
        <v>60</v>
      </c>
      <c r="H8" t="s">
        <v>15</v>
      </c>
      <c r="I8" t="s">
        <v>11</v>
      </c>
      <c r="J8" t="s">
        <v>67</v>
      </c>
      <c r="K8">
        <v>10</v>
      </c>
      <c r="L8">
        <v>9</v>
      </c>
      <c r="M8">
        <v>0</v>
      </c>
      <c r="N8" t="s">
        <v>63</v>
      </c>
      <c r="P8" s="76" t="s">
        <v>14</v>
      </c>
      <c r="R8">
        <v>7</v>
      </c>
      <c r="S8">
        <v>7</v>
      </c>
    </row>
    <row r="9" spans="1:19">
      <c r="A9" s="73">
        <v>43409</v>
      </c>
      <c r="B9" t="s">
        <v>22</v>
      </c>
      <c r="C9" s="74">
        <v>0.79166666666666663</v>
      </c>
      <c r="D9" s="74">
        <v>0.82638888888888884</v>
      </c>
      <c r="E9">
        <v>0.83299999999999996</v>
      </c>
      <c r="F9">
        <v>50</v>
      </c>
      <c r="G9" t="s">
        <v>60</v>
      </c>
      <c r="H9" t="s">
        <v>11</v>
      </c>
      <c r="I9" t="s">
        <v>11</v>
      </c>
      <c r="J9" t="s">
        <v>64</v>
      </c>
      <c r="K9">
        <v>10</v>
      </c>
      <c r="L9">
        <v>8</v>
      </c>
      <c r="M9">
        <v>6</v>
      </c>
      <c r="N9" t="s">
        <v>63</v>
      </c>
      <c r="P9" s="76" t="s">
        <v>69</v>
      </c>
      <c r="R9">
        <v>9</v>
      </c>
      <c r="S9">
        <v>9</v>
      </c>
    </row>
    <row r="10" spans="1:19">
      <c r="A10" s="73">
        <v>43410</v>
      </c>
      <c r="B10" t="s">
        <v>23</v>
      </c>
      <c r="C10" s="74">
        <v>0.75</v>
      </c>
      <c r="D10" s="74">
        <v>0.78472222222222221</v>
      </c>
      <c r="E10">
        <v>0.83299999999999996</v>
      </c>
      <c r="F10">
        <v>50</v>
      </c>
      <c r="G10" t="s">
        <v>60</v>
      </c>
      <c r="H10" t="s">
        <v>68</v>
      </c>
      <c r="I10" t="s">
        <v>11</v>
      </c>
      <c r="J10" t="s">
        <v>67</v>
      </c>
      <c r="K10">
        <v>12</v>
      </c>
      <c r="L10">
        <v>9</v>
      </c>
      <c r="M10">
        <v>0</v>
      </c>
      <c r="N10" t="s">
        <v>63</v>
      </c>
      <c r="P10" s="76" t="s">
        <v>61</v>
      </c>
      <c r="Q10">
        <v>1</v>
      </c>
      <c r="R10">
        <v>9</v>
      </c>
      <c r="S10">
        <v>10</v>
      </c>
    </row>
    <row r="11" spans="1:19">
      <c r="A11" s="73">
        <v>43410</v>
      </c>
      <c r="B11" t="s">
        <v>23</v>
      </c>
      <c r="C11" s="74">
        <v>0.3125</v>
      </c>
      <c r="D11" s="74">
        <v>0.34722222222222227</v>
      </c>
      <c r="E11">
        <v>0.83299999999999996</v>
      </c>
      <c r="F11">
        <v>50</v>
      </c>
      <c r="G11" t="s">
        <v>60</v>
      </c>
      <c r="H11" t="s">
        <v>69</v>
      </c>
      <c r="I11" t="s">
        <v>11</v>
      </c>
      <c r="J11" t="s">
        <v>64</v>
      </c>
      <c r="K11">
        <v>5</v>
      </c>
      <c r="L11">
        <v>3</v>
      </c>
      <c r="M11">
        <v>0</v>
      </c>
      <c r="N11" t="s">
        <v>63</v>
      </c>
      <c r="P11" s="76" t="s">
        <v>70</v>
      </c>
      <c r="R11">
        <v>7</v>
      </c>
      <c r="S11">
        <v>7</v>
      </c>
    </row>
    <row r="12" spans="1:19">
      <c r="A12" s="73">
        <v>43410</v>
      </c>
      <c r="B12" t="s">
        <v>23</v>
      </c>
      <c r="C12" s="74">
        <v>0.35416666666666669</v>
      </c>
      <c r="D12" s="74">
        <v>0.3888888888888889</v>
      </c>
      <c r="E12">
        <v>0.83299999999999996</v>
      </c>
      <c r="F12">
        <v>50</v>
      </c>
      <c r="G12" t="s">
        <v>60</v>
      </c>
      <c r="H12" t="s">
        <v>13</v>
      </c>
      <c r="I12" t="s">
        <v>11</v>
      </c>
      <c r="J12" t="s">
        <v>62</v>
      </c>
      <c r="K12">
        <v>6</v>
      </c>
      <c r="L12">
        <v>4</v>
      </c>
      <c r="M12">
        <v>0</v>
      </c>
      <c r="N12" t="s">
        <v>63</v>
      </c>
      <c r="P12" s="76" t="s">
        <v>68</v>
      </c>
      <c r="R12">
        <v>4</v>
      </c>
      <c r="S12">
        <v>4</v>
      </c>
    </row>
    <row r="13" spans="1:19">
      <c r="A13" s="73">
        <v>43411</v>
      </c>
      <c r="B13" t="s">
        <v>24</v>
      </c>
      <c r="C13" s="74">
        <v>0.75</v>
      </c>
      <c r="D13" s="74">
        <v>0.78472222222222221</v>
      </c>
      <c r="E13">
        <v>0.83299999999999996</v>
      </c>
      <c r="F13">
        <v>50</v>
      </c>
      <c r="G13" t="s">
        <v>60</v>
      </c>
      <c r="H13" t="s">
        <v>17</v>
      </c>
      <c r="I13" t="s">
        <v>11</v>
      </c>
      <c r="J13" t="s">
        <v>66</v>
      </c>
      <c r="K13">
        <v>10</v>
      </c>
      <c r="L13">
        <v>9</v>
      </c>
      <c r="M13">
        <v>12</v>
      </c>
      <c r="N13" t="s">
        <v>63</v>
      </c>
      <c r="P13" s="76" t="s">
        <v>72</v>
      </c>
      <c r="R13">
        <v>2</v>
      </c>
      <c r="S13">
        <v>2</v>
      </c>
    </row>
    <row r="14" spans="1:19">
      <c r="A14" s="73">
        <v>43411</v>
      </c>
      <c r="B14" t="s">
        <v>24</v>
      </c>
      <c r="C14" s="74">
        <v>0.3125</v>
      </c>
      <c r="D14" s="74">
        <v>0.34722222222222227</v>
      </c>
      <c r="E14">
        <v>0.83299999999999996</v>
      </c>
      <c r="F14">
        <v>50</v>
      </c>
      <c r="G14" t="s">
        <v>60</v>
      </c>
      <c r="H14" t="s">
        <v>61</v>
      </c>
      <c r="I14" t="s">
        <v>11</v>
      </c>
      <c r="J14" t="s">
        <v>67</v>
      </c>
      <c r="K14">
        <v>11</v>
      </c>
      <c r="L14">
        <v>8</v>
      </c>
      <c r="M14">
        <v>0</v>
      </c>
      <c r="N14" t="s">
        <v>63</v>
      </c>
      <c r="P14" s="76" t="s">
        <v>17</v>
      </c>
      <c r="R14">
        <v>19</v>
      </c>
      <c r="S14">
        <v>19</v>
      </c>
    </row>
    <row r="15" spans="1:19">
      <c r="A15" s="73">
        <v>43411</v>
      </c>
      <c r="B15" t="s">
        <v>24</v>
      </c>
      <c r="C15" s="74">
        <v>0.79166666666666663</v>
      </c>
      <c r="D15" s="74">
        <v>0.82638888888888884</v>
      </c>
      <c r="E15">
        <v>0.83299999999999996</v>
      </c>
      <c r="F15">
        <v>50</v>
      </c>
      <c r="G15" t="s">
        <v>60</v>
      </c>
      <c r="H15" t="s">
        <v>17</v>
      </c>
      <c r="I15" t="s">
        <v>11</v>
      </c>
      <c r="J15" t="s">
        <v>65</v>
      </c>
      <c r="K15">
        <v>14</v>
      </c>
      <c r="L15">
        <v>12</v>
      </c>
      <c r="M15">
        <v>0</v>
      </c>
      <c r="N15" t="s">
        <v>63</v>
      </c>
      <c r="P15" s="76" t="s">
        <v>15</v>
      </c>
      <c r="Q15">
        <v>1</v>
      </c>
      <c r="R15">
        <v>3</v>
      </c>
      <c r="S15">
        <v>4</v>
      </c>
    </row>
    <row r="16" spans="1:19">
      <c r="A16" s="73">
        <v>43412</v>
      </c>
      <c r="B16" t="s">
        <v>20</v>
      </c>
      <c r="C16" s="74">
        <v>0.35416666666666669</v>
      </c>
      <c r="D16" s="74">
        <v>0.3888888888888889</v>
      </c>
      <c r="E16">
        <v>0.83299999999999996</v>
      </c>
      <c r="F16">
        <v>50</v>
      </c>
      <c r="G16" t="s">
        <v>60</v>
      </c>
      <c r="H16" t="s">
        <v>61</v>
      </c>
      <c r="I16" t="s">
        <v>11</v>
      </c>
      <c r="J16" t="s">
        <v>65</v>
      </c>
      <c r="K16">
        <v>12</v>
      </c>
      <c r="L16">
        <v>12</v>
      </c>
      <c r="M16">
        <v>0</v>
      </c>
      <c r="N16" t="s">
        <v>63</v>
      </c>
      <c r="P16" s="76" t="s">
        <v>78</v>
      </c>
      <c r="Q16">
        <v>2</v>
      </c>
      <c r="R16">
        <v>67</v>
      </c>
      <c r="S16">
        <v>69</v>
      </c>
    </row>
    <row r="17" spans="1:14">
      <c r="A17" s="73">
        <v>43412</v>
      </c>
      <c r="B17" t="s">
        <v>20</v>
      </c>
      <c r="C17" s="74">
        <v>0.75</v>
      </c>
      <c r="D17" s="74">
        <v>0.78472222222222221</v>
      </c>
      <c r="E17">
        <v>0.83299999999999996</v>
      </c>
      <c r="F17">
        <v>50</v>
      </c>
      <c r="G17" t="s">
        <v>60</v>
      </c>
      <c r="H17" t="s">
        <v>70</v>
      </c>
      <c r="I17" t="s">
        <v>11</v>
      </c>
      <c r="J17" t="s">
        <v>64</v>
      </c>
      <c r="K17">
        <v>11</v>
      </c>
      <c r="L17">
        <v>8</v>
      </c>
      <c r="M17">
        <v>16</v>
      </c>
      <c r="N17" t="s">
        <v>63</v>
      </c>
    </row>
    <row r="18" spans="1:14">
      <c r="A18" s="73">
        <v>43412</v>
      </c>
      <c r="B18" t="s">
        <v>20</v>
      </c>
      <c r="C18" s="74">
        <v>0.79166666666666663</v>
      </c>
      <c r="D18" s="74">
        <v>0.82638888888888884</v>
      </c>
      <c r="E18">
        <v>0.83299999999999996</v>
      </c>
      <c r="F18">
        <v>50</v>
      </c>
      <c r="G18" t="s">
        <v>60</v>
      </c>
      <c r="H18" t="s">
        <v>14</v>
      </c>
      <c r="I18" t="s">
        <v>11</v>
      </c>
      <c r="J18" t="s">
        <v>71</v>
      </c>
      <c r="K18">
        <v>10</v>
      </c>
      <c r="L18">
        <v>7</v>
      </c>
      <c r="M18">
        <v>0</v>
      </c>
      <c r="N18" t="s">
        <v>63</v>
      </c>
    </row>
    <row r="19" spans="1:14">
      <c r="A19" s="73">
        <v>43415</v>
      </c>
      <c r="B19" t="s">
        <v>21</v>
      </c>
      <c r="C19" s="74">
        <v>0.3125</v>
      </c>
      <c r="D19" s="74">
        <v>0.34722222222222227</v>
      </c>
      <c r="E19">
        <v>0.83299999999999996</v>
      </c>
      <c r="F19">
        <v>50</v>
      </c>
      <c r="G19" t="s">
        <v>60</v>
      </c>
      <c r="H19" t="s">
        <v>70</v>
      </c>
      <c r="I19" t="s">
        <v>11</v>
      </c>
      <c r="J19" t="s">
        <v>64</v>
      </c>
      <c r="K19">
        <v>10</v>
      </c>
      <c r="L19">
        <v>10</v>
      </c>
      <c r="M19">
        <v>0</v>
      </c>
      <c r="N19" t="s">
        <v>63</v>
      </c>
    </row>
    <row r="20" spans="1:14">
      <c r="A20" s="73">
        <v>43415</v>
      </c>
      <c r="B20" t="s">
        <v>21</v>
      </c>
      <c r="C20" s="74">
        <v>0.75</v>
      </c>
      <c r="D20" s="74">
        <v>0.78472222222222221</v>
      </c>
      <c r="E20">
        <v>0.83299999999999996</v>
      </c>
      <c r="F20">
        <v>50</v>
      </c>
      <c r="G20" t="s">
        <v>60</v>
      </c>
      <c r="H20" t="s">
        <v>72</v>
      </c>
      <c r="I20" t="s">
        <v>11</v>
      </c>
      <c r="J20" t="s">
        <v>73</v>
      </c>
      <c r="K20">
        <v>10</v>
      </c>
      <c r="L20">
        <v>10</v>
      </c>
      <c r="M20">
        <v>0</v>
      </c>
      <c r="N20" t="s">
        <v>63</v>
      </c>
    </row>
    <row r="21" spans="1:14">
      <c r="A21" s="73">
        <v>43415</v>
      </c>
      <c r="B21" t="s">
        <v>21</v>
      </c>
      <c r="C21" s="74">
        <v>0.79166666666666663</v>
      </c>
      <c r="D21" s="74">
        <v>0.82638888888888884</v>
      </c>
      <c r="E21">
        <v>0.83299999999999996</v>
      </c>
      <c r="F21">
        <v>50</v>
      </c>
      <c r="G21" t="s">
        <v>60</v>
      </c>
      <c r="H21" t="s">
        <v>17</v>
      </c>
      <c r="I21" t="s">
        <v>11</v>
      </c>
      <c r="J21" t="s">
        <v>66</v>
      </c>
      <c r="K21">
        <v>9</v>
      </c>
      <c r="L21">
        <v>8</v>
      </c>
      <c r="M21">
        <v>0</v>
      </c>
      <c r="N21" t="s">
        <v>63</v>
      </c>
    </row>
    <row r="22" spans="1:14">
      <c r="A22" s="73">
        <v>43416</v>
      </c>
      <c r="B22" t="s">
        <v>22</v>
      </c>
      <c r="C22" s="74">
        <v>0.3125</v>
      </c>
      <c r="D22" s="74">
        <v>0.34722222222222227</v>
      </c>
      <c r="E22">
        <v>0.83299999999999996</v>
      </c>
      <c r="F22">
        <v>50</v>
      </c>
      <c r="G22" t="s">
        <v>60</v>
      </c>
      <c r="H22" t="s">
        <v>17</v>
      </c>
      <c r="I22" t="s">
        <v>11</v>
      </c>
      <c r="J22" t="s">
        <v>66</v>
      </c>
      <c r="K22">
        <v>10</v>
      </c>
      <c r="L22">
        <v>9</v>
      </c>
      <c r="M22">
        <v>0</v>
      </c>
      <c r="N22" t="s">
        <v>63</v>
      </c>
    </row>
    <row r="23" spans="1:14">
      <c r="A23" s="73">
        <v>43416</v>
      </c>
      <c r="B23" t="s">
        <v>22</v>
      </c>
      <c r="C23" s="74">
        <v>0.35416666666666669</v>
      </c>
      <c r="D23" s="74">
        <v>0.3888888888888889</v>
      </c>
      <c r="E23">
        <v>0.83299999999999996</v>
      </c>
      <c r="F23">
        <v>50</v>
      </c>
      <c r="G23" t="s">
        <v>60</v>
      </c>
      <c r="H23" t="s">
        <v>17</v>
      </c>
      <c r="I23" t="s">
        <v>11</v>
      </c>
      <c r="J23" t="s">
        <v>65</v>
      </c>
      <c r="K23">
        <v>11</v>
      </c>
      <c r="L23">
        <v>10</v>
      </c>
      <c r="M23">
        <v>0</v>
      </c>
      <c r="N23" t="s">
        <v>63</v>
      </c>
    </row>
    <row r="24" spans="1:14">
      <c r="A24" s="73">
        <v>43416</v>
      </c>
      <c r="B24" t="s">
        <v>22</v>
      </c>
      <c r="C24" s="74">
        <v>0.75</v>
      </c>
      <c r="D24" s="74">
        <v>0.78472222222222221</v>
      </c>
      <c r="E24">
        <v>0.83299999999999996</v>
      </c>
      <c r="F24">
        <v>50</v>
      </c>
      <c r="G24" t="s">
        <v>60</v>
      </c>
      <c r="H24" t="s">
        <v>68</v>
      </c>
      <c r="I24" t="s">
        <v>11</v>
      </c>
      <c r="J24" t="s">
        <v>62</v>
      </c>
      <c r="K24">
        <v>7</v>
      </c>
      <c r="L24">
        <v>7</v>
      </c>
      <c r="M24">
        <v>0</v>
      </c>
      <c r="N24" t="s">
        <v>63</v>
      </c>
    </row>
    <row r="25" spans="1:14">
      <c r="A25" s="73">
        <v>43416</v>
      </c>
      <c r="B25" t="s">
        <v>22</v>
      </c>
      <c r="C25" s="74">
        <v>0.79166666666666663</v>
      </c>
      <c r="D25" s="74">
        <v>0.82638888888888884</v>
      </c>
      <c r="E25">
        <v>0.83299999999999996</v>
      </c>
      <c r="F25">
        <v>50</v>
      </c>
      <c r="G25" t="s">
        <v>60</v>
      </c>
      <c r="H25" t="s">
        <v>70</v>
      </c>
      <c r="I25" t="s">
        <v>11</v>
      </c>
      <c r="J25" t="s">
        <v>64</v>
      </c>
      <c r="K25">
        <v>10</v>
      </c>
      <c r="L25">
        <v>8</v>
      </c>
      <c r="M25">
        <v>10</v>
      </c>
      <c r="N25" t="s">
        <v>63</v>
      </c>
    </row>
    <row r="26" spans="1:14">
      <c r="A26" s="73">
        <v>43417</v>
      </c>
      <c r="B26" t="s">
        <v>23</v>
      </c>
      <c r="C26" s="74">
        <v>0.35416666666666669</v>
      </c>
      <c r="D26" s="74">
        <v>0.3888888888888889</v>
      </c>
      <c r="E26">
        <v>0.83299999999999996</v>
      </c>
      <c r="F26">
        <v>50</v>
      </c>
      <c r="G26" t="s">
        <v>60</v>
      </c>
      <c r="H26" t="s">
        <v>15</v>
      </c>
      <c r="I26" t="s">
        <v>11</v>
      </c>
      <c r="J26" t="s">
        <v>67</v>
      </c>
      <c r="K26">
        <v>6</v>
      </c>
      <c r="L26">
        <v>5</v>
      </c>
      <c r="M26">
        <v>0</v>
      </c>
      <c r="N26" t="s">
        <v>63</v>
      </c>
    </row>
    <row r="27" spans="1:14">
      <c r="A27" s="73">
        <v>43417</v>
      </c>
      <c r="B27" t="s">
        <v>23</v>
      </c>
      <c r="C27" s="74">
        <v>0.75</v>
      </c>
      <c r="D27" s="74">
        <v>0.78472222222222221</v>
      </c>
      <c r="E27">
        <v>0.83299999999999996</v>
      </c>
      <c r="F27">
        <v>50</v>
      </c>
      <c r="G27" t="s">
        <v>60</v>
      </c>
      <c r="H27" t="s">
        <v>14</v>
      </c>
      <c r="I27" t="s">
        <v>11</v>
      </c>
      <c r="J27" t="s">
        <v>71</v>
      </c>
      <c r="K27">
        <v>12</v>
      </c>
      <c r="L27">
        <v>10</v>
      </c>
      <c r="M27">
        <v>0</v>
      </c>
      <c r="N27" t="s">
        <v>63</v>
      </c>
    </row>
    <row r="28" spans="1:14">
      <c r="A28" s="73">
        <v>43417</v>
      </c>
      <c r="B28" t="s">
        <v>23</v>
      </c>
      <c r="C28" s="74">
        <v>0.79166666666666663</v>
      </c>
      <c r="D28" s="74">
        <v>0.82638888888888884</v>
      </c>
      <c r="E28">
        <v>0.83299999999999996</v>
      </c>
      <c r="F28">
        <v>50</v>
      </c>
      <c r="G28" t="s">
        <v>74</v>
      </c>
      <c r="H28" t="s">
        <v>61</v>
      </c>
      <c r="I28" t="s">
        <v>11</v>
      </c>
      <c r="J28" t="s">
        <v>65</v>
      </c>
      <c r="K28">
        <v>0</v>
      </c>
      <c r="L28">
        <v>0</v>
      </c>
      <c r="M28">
        <v>0</v>
      </c>
      <c r="N28" t="s">
        <v>63</v>
      </c>
    </row>
    <row r="29" spans="1:14">
      <c r="A29" s="73">
        <v>43418</v>
      </c>
      <c r="B29" t="s">
        <v>24</v>
      </c>
      <c r="C29" s="74">
        <v>0.75</v>
      </c>
      <c r="D29" s="74">
        <v>0.78472222222222221</v>
      </c>
      <c r="E29">
        <v>0.83299999999999996</v>
      </c>
      <c r="F29">
        <v>50</v>
      </c>
      <c r="G29" t="s">
        <v>60</v>
      </c>
      <c r="H29" t="s">
        <v>17</v>
      </c>
      <c r="I29" t="s">
        <v>11</v>
      </c>
      <c r="J29" t="s">
        <v>66</v>
      </c>
      <c r="K29">
        <v>10</v>
      </c>
      <c r="L29">
        <v>8</v>
      </c>
      <c r="M29">
        <v>6</v>
      </c>
      <c r="N29" t="s">
        <v>63</v>
      </c>
    </row>
    <row r="30" spans="1:14">
      <c r="A30" s="73">
        <v>43418</v>
      </c>
      <c r="B30" t="s">
        <v>24</v>
      </c>
      <c r="C30" s="74">
        <v>0.3125</v>
      </c>
      <c r="D30" s="74">
        <v>0.34722222222222227</v>
      </c>
      <c r="E30">
        <v>0.83299999999999996</v>
      </c>
      <c r="F30">
        <v>50</v>
      </c>
      <c r="G30" t="s">
        <v>60</v>
      </c>
      <c r="H30" t="s">
        <v>13</v>
      </c>
      <c r="I30" t="s">
        <v>11</v>
      </c>
      <c r="J30" t="s">
        <v>67</v>
      </c>
      <c r="K30">
        <v>12</v>
      </c>
      <c r="L30">
        <v>11</v>
      </c>
      <c r="M30">
        <v>0</v>
      </c>
      <c r="N30" t="s">
        <v>63</v>
      </c>
    </row>
    <row r="31" spans="1:14">
      <c r="A31" s="73">
        <v>43418</v>
      </c>
      <c r="B31" t="s">
        <v>24</v>
      </c>
      <c r="C31" s="74">
        <v>0.35416666666666669</v>
      </c>
      <c r="D31" s="74">
        <v>0.3888888888888889</v>
      </c>
      <c r="E31">
        <v>0.83299999999999996</v>
      </c>
      <c r="F31">
        <v>50</v>
      </c>
      <c r="G31" t="s">
        <v>60</v>
      </c>
      <c r="H31" t="s">
        <v>69</v>
      </c>
      <c r="I31" t="s">
        <v>11</v>
      </c>
      <c r="J31" t="s">
        <v>64</v>
      </c>
      <c r="K31">
        <v>9</v>
      </c>
      <c r="L31">
        <v>7</v>
      </c>
      <c r="M31">
        <v>0</v>
      </c>
      <c r="N31" t="s">
        <v>63</v>
      </c>
    </row>
    <row r="32" spans="1:14">
      <c r="A32" s="73">
        <v>43418</v>
      </c>
      <c r="B32" t="s">
        <v>24</v>
      </c>
      <c r="C32" s="74">
        <v>0.79166666666666663</v>
      </c>
      <c r="D32" s="74">
        <v>0.82638888888888884</v>
      </c>
      <c r="E32">
        <v>0.83299999999999996</v>
      </c>
      <c r="F32">
        <v>50</v>
      </c>
      <c r="G32" t="s">
        <v>60</v>
      </c>
      <c r="H32" t="s">
        <v>17</v>
      </c>
      <c r="I32" t="s">
        <v>11</v>
      </c>
      <c r="J32" t="s">
        <v>65</v>
      </c>
      <c r="K32">
        <v>5</v>
      </c>
      <c r="L32">
        <v>4</v>
      </c>
      <c r="M32">
        <v>0</v>
      </c>
      <c r="N32" t="s">
        <v>63</v>
      </c>
    </row>
    <row r="33" spans="1:14">
      <c r="A33" s="73">
        <v>43419</v>
      </c>
      <c r="B33" t="s">
        <v>20</v>
      </c>
      <c r="C33" s="74">
        <v>0.35416666666666669</v>
      </c>
      <c r="D33" s="74">
        <v>0.3888888888888889</v>
      </c>
      <c r="E33">
        <v>0.83299999999999996</v>
      </c>
      <c r="F33">
        <v>50</v>
      </c>
      <c r="G33" t="s">
        <v>60</v>
      </c>
      <c r="H33" t="s">
        <v>61</v>
      </c>
      <c r="I33" t="s">
        <v>11</v>
      </c>
      <c r="J33" t="s">
        <v>62</v>
      </c>
      <c r="K33">
        <v>6</v>
      </c>
      <c r="L33">
        <v>6</v>
      </c>
      <c r="M33">
        <v>0</v>
      </c>
      <c r="N33" t="s">
        <v>63</v>
      </c>
    </row>
    <row r="34" spans="1:14">
      <c r="A34" s="73">
        <v>43419</v>
      </c>
      <c r="B34" t="s">
        <v>20</v>
      </c>
      <c r="C34" s="74">
        <v>0.75</v>
      </c>
      <c r="D34" s="74">
        <v>0.78472222222222221</v>
      </c>
      <c r="E34">
        <v>0.83299999999999996</v>
      </c>
      <c r="F34">
        <v>50</v>
      </c>
      <c r="G34" t="s">
        <v>60</v>
      </c>
      <c r="H34" t="s">
        <v>69</v>
      </c>
      <c r="I34" t="s">
        <v>11</v>
      </c>
      <c r="J34" t="s">
        <v>64</v>
      </c>
      <c r="K34">
        <v>10</v>
      </c>
      <c r="L34">
        <v>10</v>
      </c>
      <c r="M34">
        <v>11</v>
      </c>
      <c r="N34" t="s">
        <v>63</v>
      </c>
    </row>
    <row r="35" spans="1:14">
      <c r="A35" s="73">
        <v>43419</v>
      </c>
      <c r="B35" t="s">
        <v>20</v>
      </c>
      <c r="C35" s="74">
        <v>0.79166666666666663</v>
      </c>
      <c r="D35" s="74">
        <v>0.82638888888888884</v>
      </c>
      <c r="E35">
        <v>0.83299999999999996</v>
      </c>
      <c r="F35">
        <v>50</v>
      </c>
      <c r="G35" t="s">
        <v>60</v>
      </c>
      <c r="H35" t="s">
        <v>14</v>
      </c>
      <c r="I35" t="s">
        <v>11</v>
      </c>
      <c r="J35" t="s">
        <v>67</v>
      </c>
      <c r="K35">
        <v>13</v>
      </c>
      <c r="L35">
        <v>13</v>
      </c>
      <c r="M35">
        <v>0</v>
      </c>
      <c r="N35" t="s">
        <v>63</v>
      </c>
    </row>
    <row r="36" spans="1:14">
      <c r="A36" s="73">
        <v>43422</v>
      </c>
      <c r="B36" t="s">
        <v>21</v>
      </c>
      <c r="C36" s="74">
        <v>0.3125</v>
      </c>
      <c r="D36" s="74">
        <v>0.34722222222222227</v>
      </c>
      <c r="E36">
        <v>0.83299999999999996</v>
      </c>
      <c r="F36">
        <v>50</v>
      </c>
      <c r="G36" t="s">
        <v>60</v>
      </c>
      <c r="H36" t="s">
        <v>69</v>
      </c>
      <c r="I36" t="s">
        <v>11</v>
      </c>
      <c r="J36" t="s">
        <v>64</v>
      </c>
      <c r="K36">
        <v>7</v>
      </c>
      <c r="L36">
        <v>7</v>
      </c>
      <c r="M36">
        <v>0</v>
      </c>
      <c r="N36" t="s">
        <v>63</v>
      </c>
    </row>
    <row r="37" spans="1:14">
      <c r="A37" s="73">
        <v>43422</v>
      </c>
      <c r="B37" t="s">
        <v>21</v>
      </c>
      <c r="C37" s="74">
        <v>0.75</v>
      </c>
      <c r="D37" s="74">
        <v>0.78472222222222221</v>
      </c>
      <c r="E37">
        <v>0.83299999999999996</v>
      </c>
      <c r="F37">
        <v>50</v>
      </c>
      <c r="G37" t="s">
        <v>60</v>
      </c>
      <c r="H37" t="s">
        <v>72</v>
      </c>
      <c r="I37" t="s">
        <v>11</v>
      </c>
      <c r="J37" t="s">
        <v>75</v>
      </c>
      <c r="K37">
        <v>10</v>
      </c>
      <c r="L37">
        <v>8</v>
      </c>
      <c r="M37">
        <v>0</v>
      </c>
      <c r="N37" t="s">
        <v>63</v>
      </c>
    </row>
    <row r="38" spans="1:14">
      <c r="A38" s="73">
        <v>43422</v>
      </c>
      <c r="B38" t="s">
        <v>21</v>
      </c>
      <c r="C38" s="74">
        <v>0.35416666666666669</v>
      </c>
      <c r="D38" s="74">
        <v>0.3888888888888889</v>
      </c>
      <c r="E38">
        <v>0.83299999999999996</v>
      </c>
      <c r="F38">
        <v>50</v>
      </c>
      <c r="G38" t="s">
        <v>60</v>
      </c>
      <c r="H38" t="s">
        <v>15</v>
      </c>
      <c r="I38" t="s">
        <v>11</v>
      </c>
      <c r="J38" t="s">
        <v>62</v>
      </c>
      <c r="K38">
        <v>10</v>
      </c>
      <c r="L38">
        <v>10</v>
      </c>
      <c r="M38">
        <v>0</v>
      </c>
      <c r="N38" t="s">
        <v>63</v>
      </c>
    </row>
    <row r="39" spans="1:14">
      <c r="A39" s="73">
        <v>43423</v>
      </c>
      <c r="B39" t="s">
        <v>22</v>
      </c>
      <c r="C39" s="74">
        <v>0.3125</v>
      </c>
      <c r="D39" s="74">
        <v>0.34722222222222227</v>
      </c>
      <c r="E39">
        <v>0.83299999999999996</v>
      </c>
      <c r="F39">
        <v>50</v>
      </c>
      <c r="G39" t="s">
        <v>60</v>
      </c>
      <c r="H39" t="s">
        <v>17</v>
      </c>
      <c r="I39" t="s">
        <v>11</v>
      </c>
      <c r="J39" t="s">
        <v>66</v>
      </c>
      <c r="K39">
        <v>8</v>
      </c>
      <c r="L39">
        <v>7</v>
      </c>
      <c r="M39">
        <v>0</v>
      </c>
      <c r="N39" t="s">
        <v>63</v>
      </c>
    </row>
    <row r="40" spans="1:14">
      <c r="A40" s="73">
        <v>43423</v>
      </c>
      <c r="B40" t="s">
        <v>22</v>
      </c>
      <c r="C40" s="74">
        <v>0.75</v>
      </c>
      <c r="D40" s="74">
        <v>0.78472222222222221</v>
      </c>
      <c r="E40">
        <v>0.83299999999999996</v>
      </c>
      <c r="F40">
        <v>50</v>
      </c>
      <c r="G40" t="s">
        <v>60</v>
      </c>
      <c r="H40" t="s">
        <v>68</v>
      </c>
      <c r="I40" t="s">
        <v>11</v>
      </c>
      <c r="J40" t="s">
        <v>67</v>
      </c>
      <c r="K40">
        <v>11</v>
      </c>
      <c r="L40">
        <v>11</v>
      </c>
      <c r="M40">
        <v>0</v>
      </c>
      <c r="N40" t="s">
        <v>63</v>
      </c>
    </row>
    <row r="41" spans="1:14">
      <c r="A41" s="73">
        <v>43423</v>
      </c>
      <c r="B41" t="s">
        <v>22</v>
      </c>
      <c r="C41" s="74">
        <v>0.35416666666666669</v>
      </c>
      <c r="D41" s="74">
        <v>0.3888888888888889</v>
      </c>
      <c r="E41">
        <v>0.83299999999999996</v>
      </c>
      <c r="F41">
        <v>50</v>
      </c>
      <c r="G41" t="s">
        <v>60</v>
      </c>
      <c r="H41" t="s">
        <v>17</v>
      </c>
      <c r="I41" t="s">
        <v>11</v>
      </c>
      <c r="J41" t="s">
        <v>65</v>
      </c>
      <c r="K41">
        <v>6</v>
      </c>
      <c r="L41">
        <v>6</v>
      </c>
      <c r="M41">
        <v>0</v>
      </c>
      <c r="N41" t="s">
        <v>63</v>
      </c>
    </row>
    <row r="42" spans="1:14">
      <c r="A42" s="73">
        <v>43423</v>
      </c>
      <c r="B42" t="s">
        <v>22</v>
      </c>
      <c r="C42" s="74">
        <v>0.79166666666666663</v>
      </c>
      <c r="D42" s="74">
        <v>0.82638888888888884</v>
      </c>
      <c r="E42">
        <v>0.83299999999999996</v>
      </c>
      <c r="F42">
        <v>50</v>
      </c>
      <c r="G42" t="s">
        <v>60</v>
      </c>
      <c r="H42" t="s">
        <v>70</v>
      </c>
      <c r="I42" t="s">
        <v>11</v>
      </c>
      <c r="J42" t="s">
        <v>64</v>
      </c>
      <c r="K42">
        <v>10</v>
      </c>
      <c r="L42">
        <v>10</v>
      </c>
      <c r="M42">
        <v>3</v>
      </c>
      <c r="N42" t="s">
        <v>63</v>
      </c>
    </row>
    <row r="43" spans="1:14">
      <c r="A43" s="73">
        <v>43424</v>
      </c>
      <c r="B43" t="s">
        <v>23</v>
      </c>
      <c r="C43" s="74">
        <v>0.3125</v>
      </c>
      <c r="D43" s="74">
        <v>0.34722222222222227</v>
      </c>
      <c r="E43">
        <v>0.83299999999999996</v>
      </c>
      <c r="F43">
        <v>50</v>
      </c>
      <c r="G43" t="s">
        <v>60</v>
      </c>
      <c r="H43" t="s">
        <v>13</v>
      </c>
      <c r="I43" t="s">
        <v>11</v>
      </c>
      <c r="J43" t="s">
        <v>67</v>
      </c>
      <c r="K43">
        <v>13</v>
      </c>
      <c r="L43">
        <v>13</v>
      </c>
      <c r="M43">
        <v>0</v>
      </c>
      <c r="N43" t="s">
        <v>63</v>
      </c>
    </row>
    <row r="44" spans="1:14">
      <c r="A44" s="73">
        <v>43424</v>
      </c>
      <c r="B44" t="s">
        <v>23</v>
      </c>
      <c r="C44" s="74">
        <v>0.75</v>
      </c>
      <c r="D44" s="74">
        <v>0.78472222222222221</v>
      </c>
      <c r="E44">
        <v>0.83299999999999996</v>
      </c>
      <c r="F44">
        <v>50</v>
      </c>
      <c r="G44" t="s">
        <v>60</v>
      </c>
      <c r="H44" t="s">
        <v>61</v>
      </c>
      <c r="I44" t="s">
        <v>11</v>
      </c>
      <c r="J44" t="s">
        <v>62</v>
      </c>
      <c r="K44">
        <v>12</v>
      </c>
      <c r="L44">
        <v>12</v>
      </c>
      <c r="M44">
        <v>1</v>
      </c>
      <c r="N44" t="s">
        <v>63</v>
      </c>
    </row>
    <row r="45" spans="1:14">
      <c r="A45" s="73">
        <v>43424</v>
      </c>
      <c r="B45" t="s">
        <v>23</v>
      </c>
      <c r="C45" s="74">
        <v>0.79166666666666663</v>
      </c>
      <c r="D45" s="74">
        <v>0.82638888888888884</v>
      </c>
      <c r="E45">
        <v>0.83299999999999996</v>
      </c>
      <c r="F45">
        <v>50</v>
      </c>
      <c r="G45" t="s">
        <v>60</v>
      </c>
      <c r="H45" t="s">
        <v>17</v>
      </c>
      <c r="I45" t="s">
        <v>11</v>
      </c>
      <c r="J45" t="s">
        <v>66</v>
      </c>
      <c r="K45">
        <v>6</v>
      </c>
      <c r="L45">
        <v>5</v>
      </c>
      <c r="M45">
        <v>0</v>
      </c>
      <c r="N45" t="s">
        <v>63</v>
      </c>
    </row>
    <row r="46" spans="1:14">
      <c r="A46" s="73">
        <v>43424</v>
      </c>
      <c r="B46" t="s">
        <v>23</v>
      </c>
      <c r="C46" s="74">
        <v>0.35416666666666669</v>
      </c>
      <c r="D46" s="74">
        <v>0.3888888888888889</v>
      </c>
      <c r="E46">
        <v>0.83299999999999996</v>
      </c>
      <c r="F46">
        <v>50</v>
      </c>
      <c r="G46" t="s">
        <v>60</v>
      </c>
      <c r="H46" t="s">
        <v>70</v>
      </c>
      <c r="I46" t="s">
        <v>11</v>
      </c>
      <c r="J46" t="s">
        <v>64</v>
      </c>
      <c r="K46">
        <v>10</v>
      </c>
      <c r="L46">
        <v>7</v>
      </c>
      <c r="M46">
        <v>1</v>
      </c>
      <c r="N46" t="s">
        <v>63</v>
      </c>
    </row>
    <row r="47" spans="1:14">
      <c r="A47" s="73">
        <v>43425</v>
      </c>
      <c r="B47" t="s">
        <v>24</v>
      </c>
      <c r="C47" s="74">
        <v>0.77083333333333337</v>
      </c>
      <c r="D47" s="74">
        <v>0.80555555555555547</v>
      </c>
      <c r="E47">
        <v>0.83299999999999996</v>
      </c>
      <c r="F47">
        <v>50</v>
      </c>
      <c r="G47" t="s">
        <v>60</v>
      </c>
      <c r="H47" t="s">
        <v>17</v>
      </c>
      <c r="I47" t="s">
        <v>11</v>
      </c>
      <c r="J47" t="s">
        <v>65</v>
      </c>
      <c r="K47">
        <v>13</v>
      </c>
      <c r="L47">
        <v>12</v>
      </c>
      <c r="M47">
        <v>0</v>
      </c>
      <c r="N47" t="s">
        <v>63</v>
      </c>
    </row>
    <row r="48" spans="1:14">
      <c r="A48" s="73">
        <v>43425</v>
      </c>
      <c r="B48" t="s">
        <v>24</v>
      </c>
      <c r="C48" s="74">
        <v>0.3125</v>
      </c>
      <c r="D48" s="74">
        <v>0.34722222222222227</v>
      </c>
      <c r="E48">
        <v>0.83299999999999996</v>
      </c>
      <c r="F48">
        <v>50</v>
      </c>
      <c r="G48" t="s">
        <v>60</v>
      </c>
      <c r="H48" t="s">
        <v>69</v>
      </c>
      <c r="I48" t="s">
        <v>11</v>
      </c>
      <c r="J48" t="s">
        <v>64</v>
      </c>
      <c r="K48">
        <v>10</v>
      </c>
      <c r="L48">
        <v>6</v>
      </c>
      <c r="M48">
        <v>1</v>
      </c>
      <c r="N48" t="s">
        <v>63</v>
      </c>
    </row>
    <row r="49" spans="1:14">
      <c r="A49" s="73">
        <v>43425</v>
      </c>
      <c r="B49" t="s">
        <v>24</v>
      </c>
      <c r="C49" s="74">
        <v>0.72916666666666663</v>
      </c>
      <c r="D49" s="74">
        <v>0.76388888888888884</v>
      </c>
      <c r="E49">
        <v>0.83299999999999996</v>
      </c>
      <c r="F49">
        <v>50</v>
      </c>
      <c r="G49" t="s">
        <v>60</v>
      </c>
      <c r="H49" t="s">
        <v>17</v>
      </c>
      <c r="I49" t="s">
        <v>11</v>
      </c>
      <c r="J49" t="s">
        <v>66</v>
      </c>
      <c r="K49">
        <v>10</v>
      </c>
      <c r="L49">
        <v>10</v>
      </c>
      <c r="M49">
        <v>1</v>
      </c>
      <c r="N49" t="s">
        <v>63</v>
      </c>
    </row>
    <row r="50" spans="1:14">
      <c r="A50" s="73">
        <v>43426</v>
      </c>
      <c r="B50" t="s">
        <v>20</v>
      </c>
      <c r="C50" s="74">
        <v>0.35416666666666669</v>
      </c>
      <c r="D50" s="74">
        <v>0.3888888888888889</v>
      </c>
      <c r="E50">
        <v>0.83299999999999996</v>
      </c>
      <c r="F50">
        <v>50</v>
      </c>
      <c r="G50" t="s">
        <v>60</v>
      </c>
      <c r="H50" t="s">
        <v>61</v>
      </c>
      <c r="I50" t="s">
        <v>11</v>
      </c>
      <c r="J50" t="s">
        <v>67</v>
      </c>
      <c r="K50">
        <v>15</v>
      </c>
      <c r="L50">
        <v>10</v>
      </c>
      <c r="M50">
        <v>0</v>
      </c>
      <c r="N50" t="s">
        <v>63</v>
      </c>
    </row>
    <row r="51" spans="1:14">
      <c r="A51" s="73">
        <v>43426</v>
      </c>
      <c r="B51" t="s">
        <v>20</v>
      </c>
      <c r="C51" s="74">
        <v>0.72916666666666663</v>
      </c>
      <c r="D51" s="74">
        <v>0.76388888888888884</v>
      </c>
      <c r="E51">
        <v>0.83299999999999996</v>
      </c>
      <c r="F51">
        <v>50</v>
      </c>
      <c r="G51" t="s">
        <v>60</v>
      </c>
      <c r="H51" t="s">
        <v>69</v>
      </c>
      <c r="I51" t="s">
        <v>11</v>
      </c>
      <c r="J51" t="s">
        <v>64</v>
      </c>
      <c r="K51">
        <v>10</v>
      </c>
      <c r="L51">
        <v>7</v>
      </c>
      <c r="M51">
        <v>11</v>
      </c>
      <c r="N51" t="s">
        <v>63</v>
      </c>
    </row>
    <row r="52" spans="1:14">
      <c r="A52" s="73">
        <v>43426</v>
      </c>
      <c r="B52" t="s">
        <v>20</v>
      </c>
      <c r="C52" s="74">
        <v>0.77083333333333337</v>
      </c>
      <c r="D52" s="74">
        <v>0.80555555555555547</v>
      </c>
      <c r="E52">
        <v>0.83299999999999996</v>
      </c>
      <c r="F52">
        <v>50</v>
      </c>
      <c r="G52" t="s">
        <v>60</v>
      </c>
      <c r="H52" t="s">
        <v>14</v>
      </c>
      <c r="I52" t="s">
        <v>11</v>
      </c>
      <c r="J52" t="s">
        <v>71</v>
      </c>
      <c r="K52">
        <v>15</v>
      </c>
      <c r="L52">
        <v>10</v>
      </c>
      <c r="M52">
        <v>0</v>
      </c>
      <c r="N52" t="s">
        <v>63</v>
      </c>
    </row>
    <row r="53" spans="1:14">
      <c r="A53" s="73">
        <v>43429</v>
      </c>
      <c r="B53" t="s">
        <v>21</v>
      </c>
      <c r="C53" s="74">
        <v>0.3125</v>
      </c>
      <c r="D53" s="74">
        <v>0.34722222222222227</v>
      </c>
      <c r="E53">
        <v>0.83299999999999996</v>
      </c>
      <c r="F53">
        <v>50</v>
      </c>
      <c r="G53" t="s">
        <v>74</v>
      </c>
      <c r="H53" t="s">
        <v>15</v>
      </c>
      <c r="I53" t="s">
        <v>11</v>
      </c>
      <c r="J53" t="s">
        <v>62</v>
      </c>
      <c r="K53">
        <v>0</v>
      </c>
      <c r="L53">
        <v>0</v>
      </c>
      <c r="M53">
        <v>0</v>
      </c>
      <c r="N53" t="s">
        <v>63</v>
      </c>
    </row>
    <row r="54" spans="1:14">
      <c r="A54" s="73">
        <v>43429</v>
      </c>
      <c r="B54" t="s">
        <v>21</v>
      </c>
      <c r="C54" s="74">
        <v>0.72916666666666663</v>
      </c>
      <c r="D54" s="74">
        <v>0.76388888888888884</v>
      </c>
      <c r="E54">
        <v>0.83299999999999996</v>
      </c>
      <c r="F54">
        <v>50</v>
      </c>
      <c r="G54" t="s">
        <v>60</v>
      </c>
      <c r="H54" t="s">
        <v>17</v>
      </c>
      <c r="I54" t="s">
        <v>11</v>
      </c>
      <c r="J54" t="s">
        <v>66</v>
      </c>
      <c r="K54">
        <v>8</v>
      </c>
      <c r="L54">
        <v>8</v>
      </c>
      <c r="M54">
        <v>0</v>
      </c>
      <c r="N54" t="s">
        <v>63</v>
      </c>
    </row>
    <row r="55" spans="1:14">
      <c r="A55" s="73">
        <v>43429</v>
      </c>
      <c r="B55" t="s">
        <v>21</v>
      </c>
      <c r="C55" s="74">
        <v>0.35416666666666669</v>
      </c>
      <c r="D55" s="74">
        <v>0.3888888888888889</v>
      </c>
      <c r="E55">
        <v>0.83299999999999996</v>
      </c>
      <c r="F55">
        <v>50</v>
      </c>
      <c r="G55" t="s">
        <v>60</v>
      </c>
      <c r="H55" t="s">
        <v>70</v>
      </c>
      <c r="I55" t="s">
        <v>11</v>
      </c>
      <c r="J55" t="s">
        <v>64</v>
      </c>
      <c r="K55">
        <v>9</v>
      </c>
      <c r="L55">
        <v>9</v>
      </c>
      <c r="M55">
        <v>2</v>
      </c>
      <c r="N55" t="s">
        <v>63</v>
      </c>
    </row>
    <row r="56" spans="1:14">
      <c r="A56" s="73">
        <v>43429</v>
      </c>
      <c r="B56" t="s">
        <v>21</v>
      </c>
      <c r="C56" s="74">
        <v>0.77083333333333337</v>
      </c>
      <c r="D56" s="74">
        <v>0.80555555555555547</v>
      </c>
      <c r="E56">
        <v>0.83299999999999996</v>
      </c>
      <c r="F56">
        <v>50</v>
      </c>
      <c r="G56" t="s">
        <v>60</v>
      </c>
      <c r="H56" t="s">
        <v>14</v>
      </c>
      <c r="I56" t="s">
        <v>11</v>
      </c>
      <c r="J56" t="s">
        <v>71</v>
      </c>
      <c r="K56">
        <v>15</v>
      </c>
      <c r="L56">
        <v>12</v>
      </c>
      <c r="M56">
        <v>0</v>
      </c>
      <c r="N56" t="s">
        <v>63</v>
      </c>
    </row>
    <row r="57" spans="1:14">
      <c r="A57" s="73">
        <v>43430</v>
      </c>
      <c r="B57" t="s">
        <v>22</v>
      </c>
      <c r="C57" s="74">
        <v>0.3125</v>
      </c>
      <c r="D57" s="74">
        <v>0.34722222222222227</v>
      </c>
      <c r="E57">
        <v>0.83299999999999996</v>
      </c>
      <c r="F57">
        <v>50</v>
      </c>
      <c r="G57" t="s">
        <v>60</v>
      </c>
      <c r="H57" t="s">
        <v>17</v>
      </c>
      <c r="I57" t="s">
        <v>11</v>
      </c>
      <c r="J57" t="s">
        <v>66</v>
      </c>
      <c r="K57">
        <v>10</v>
      </c>
      <c r="L57">
        <v>7</v>
      </c>
      <c r="M57">
        <v>2</v>
      </c>
      <c r="N57" t="s">
        <v>63</v>
      </c>
    </row>
    <row r="58" spans="1:14">
      <c r="A58" s="73">
        <v>43430</v>
      </c>
      <c r="B58" t="s">
        <v>22</v>
      </c>
      <c r="C58" s="74">
        <v>0.75</v>
      </c>
      <c r="D58" s="74">
        <v>0.78472222222222221</v>
      </c>
      <c r="E58">
        <v>0.83299999999999996</v>
      </c>
      <c r="F58">
        <v>50</v>
      </c>
      <c r="G58" t="s">
        <v>60</v>
      </c>
      <c r="H58" t="s">
        <v>68</v>
      </c>
      <c r="I58" t="s">
        <v>11</v>
      </c>
      <c r="J58" t="s">
        <v>67</v>
      </c>
      <c r="K58">
        <v>11</v>
      </c>
      <c r="L58">
        <v>11</v>
      </c>
      <c r="M58">
        <v>0</v>
      </c>
      <c r="N58" t="s">
        <v>63</v>
      </c>
    </row>
    <row r="59" spans="1:14">
      <c r="A59" s="73">
        <v>43430</v>
      </c>
      <c r="B59" t="s">
        <v>22</v>
      </c>
      <c r="C59" s="74">
        <v>0.79166666666666663</v>
      </c>
      <c r="D59" s="74">
        <v>0.82638888888888884</v>
      </c>
      <c r="E59">
        <v>0.83299999999999996</v>
      </c>
      <c r="F59">
        <v>50</v>
      </c>
      <c r="G59" t="s">
        <v>60</v>
      </c>
      <c r="H59" t="s">
        <v>70</v>
      </c>
      <c r="I59" t="s">
        <v>11</v>
      </c>
      <c r="J59" t="s">
        <v>64</v>
      </c>
      <c r="K59">
        <v>10</v>
      </c>
      <c r="L59">
        <v>9</v>
      </c>
      <c r="M59">
        <v>7</v>
      </c>
      <c r="N59" t="s">
        <v>63</v>
      </c>
    </row>
    <row r="60" spans="1:14">
      <c r="A60" s="73">
        <v>43430</v>
      </c>
      <c r="B60" t="s">
        <v>22</v>
      </c>
      <c r="C60" s="74">
        <v>0.35416666666666669</v>
      </c>
      <c r="D60" s="74">
        <v>0.3888888888888889</v>
      </c>
      <c r="E60">
        <v>0.83299999999999996</v>
      </c>
      <c r="F60">
        <v>50</v>
      </c>
      <c r="G60" t="s">
        <v>60</v>
      </c>
      <c r="H60" t="s">
        <v>17</v>
      </c>
      <c r="I60" t="s">
        <v>11</v>
      </c>
      <c r="J60" t="s">
        <v>65</v>
      </c>
      <c r="K60">
        <v>9</v>
      </c>
      <c r="L60">
        <v>8</v>
      </c>
      <c r="M60">
        <v>0</v>
      </c>
      <c r="N60" t="s">
        <v>63</v>
      </c>
    </row>
    <row r="61" spans="1:14">
      <c r="A61" s="73">
        <v>43431</v>
      </c>
      <c r="B61" t="s">
        <v>23</v>
      </c>
      <c r="C61" s="74">
        <v>0.3125</v>
      </c>
      <c r="D61" s="74">
        <v>0.34722222222222227</v>
      </c>
      <c r="E61">
        <v>0.83299999999999996</v>
      </c>
      <c r="F61">
        <v>50</v>
      </c>
      <c r="G61" t="s">
        <v>60</v>
      </c>
      <c r="H61" t="s">
        <v>13</v>
      </c>
      <c r="I61" t="s">
        <v>11</v>
      </c>
      <c r="J61" t="s">
        <v>67</v>
      </c>
      <c r="K61">
        <v>9</v>
      </c>
      <c r="L61">
        <v>9</v>
      </c>
      <c r="M61">
        <v>0</v>
      </c>
      <c r="N61" t="s">
        <v>63</v>
      </c>
    </row>
    <row r="62" spans="1:14">
      <c r="A62" s="73">
        <v>43431</v>
      </c>
      <c r="B62" t="s">
        <v>23</v>
      </c>
      <c r="C62" s="74">
        <v>0.75</v>
      </c>
      <c r="D62" s="74">
        <v>0.78472222222222221</v>
      </c>
      <c r="E62">
        <v>0.83299999999999996</v>
      </c>
      <c r="F62">
        <v>50</v>
      </c>
      <c r="G62" t="s">
        <v>60</v>
      </c>
      <c r="H62" t="s">
        <v>61</v>
      </c>
      <c r="I62" t="s">
        <v>11</v>
      </c>
      <c r="J62" t="s">
        <v>62</v>
      </c>
      <c r="K62">
        <v>10</v>
      </c>
      <c r="L62">
        <v>7</v>
      </c>
      <c r="M62">
        <v>0</v>
      </c>
      <c r="N62" t="s">
        <v>63</v>
      </c>
    </row>
    <row r="63" spans="1:14">
      <c r="A63" s="73">
        <v>43431</v>
      </c>
      <c r="B63" t="s">
        <v>23</v>
      </c>
      <c r="C63" s="74">
        <v>0.35416666666666669</v>
      </c>
      <c r="D63" s="74">
        <v>0.3888888888888889</v>
      </c>
      <c r="E63">
        <v>0.83299999999999996</v>
      </c>
      <c r="F63">
        <v>50</v>
      </c>
      <c r="G63" t="s">
        <v>60</v>
      </c>
      <c r="H63" t="s">
        <v>69</v>
      </c>
      <c r="I63" t="s">
        <v>11</v>
      </c>
      <c r="J63" t="s">
        <v>64</v>
      </c>
      <c r="K63">
        <v>9</v>
      </c>
      <c r="L63">
        <v>9</v>
      </c>
      <c r="M63">
        <v>6</v>
      </c>
      <c r="N63" t="s">
        <v>63</v>
      </c>
    </row>
    <row r="64" spans="1:14">
      <c r="A64" s="73">
        <v>43432</v>
      </c>
      <c r="B64" t="s">
        <v>24</v>
      </c>
      <c r="C64" s="74">
        <v>0.77083333333333337</v>
      </c>
      <c r="D64" s="74">
        <v>0.80555555555555547</v>
      </c>
      <c r="E64">
        <v>0.83299999999999996</v>
      </c>
      <c r="F64">
        <v>50</v>
      </c>
      <c r="G64" t="s">
        <v>60</v>
      </c>
      <c r="H64" t="s">
        <v>17</v>
      </c>
      <c r="I64" t="s">
        <v>11</v>
      </c>
      <c r="J64" t="s">
        <v>65</v>
      </c>
      <c r="K64">
        <v>15</v>
      </c>
      <c r="L64">
        <v>13</v>
      </c>
      <c r="M64">
        <v>3</v>
      </c>
      <c r="N64" t="s">
        <v>63</v>
      </c>
    </row>
    <row r="65" spans="1:14">
      <c r="A65" s="73">
        <v>43432</v>
      </c>
      <c r="B65" t="s">
        <v>24</v>
      </c>
      <c r="C65" s="74">
        <v>0.3125</v>
      </c>
      <c r="D65" s="74">
        <v>0.34722222222222227</v>
      </c>
      <c r="E65">
        <v>0.83299999999999996</v>
      </c>
      <c r="F65">
        <v>50</v>
      </c>
      <c r="G65" t="s">
        <v>60</v>
      </c>
      <c r="H65" t="s">
        <v>69</v>
      </c>
      <c r="I65" t="s">
        <v>11</v>
      </c>
      <c r="J65" t="s">
        <v>64</v>
      </c>
      <c r="K65">
        <v>10</v>
      </c>
      <c r="L65">
        <v>8</v>
      </c>
      <c r="M65">
        <v>2</v>
      </c>
      <c r="N65" t="s">
        <v>63</v>
      </c>
    </row>
    <row r="66" spans="1:14">
      <c r="A66" s="73">
        <v>43432</v>
      </c>
      <c r="B66" t="s">
        <v>24</v>
      </c>
      <c r="C66" s="74">
        <v>0.72916666666666663</v>
      </c>
      <c r="D66" s="74">
        <v>0.76388888888888884</v>
      </c>
      <c r="E66">
        <v>0.83299999999999996</v>
      </c>
      <c r="F66">
        <v>50</v>
      </c>
      <c r="G66" t="s">
        <v>60</v>
      </c>
      <c r="H66" t="s">
        <v>17</v>
      </c>
      <c r="I66" t="s">
        <v>11</v>
      </c>
      <c r="J66" t="s">
        <v>66</v>
      </c>
      <c r="K66">
        <v>10</v>
      </c>
      <c r="L66">
        <v>10</v>
      </c>
      <c r="M66">
        <v>3</v>
      </c>
      <c r="N66" t="s">
        <v>63</v>
      </c>
    </row>
    <row r="67" spans="1:14">
      <c r="A67" s="73">
        <v>43433</v>
      </c>
      <c r="B67" t="s">
        <v>20</v>
      </c>
      <c r="C67" s="74">
        <v>0.35416666666666669</v>
      </c>
      <c r="D67" s="74">
        <v>0.3888888888888889</v>
      </c>
      <c r="E67">
        <v>0.83299999999999996</v>
      </c>
      <c r="F67">
        <v>50</v>
      </c>
      <c r="G67" t="s">
        <v>60</v>
      </c>
      <c r="H67" t="s">
        <v>61</v>
      </c>
      <c r="I67" t="s">
        <v>11</v>
      </c>
      <c r="J67" t="s">
        <v>67</v>
      </c>
      <c r="K67">
        <v>15</v>
      </c>
      <c r="L67">
        <v>11</v>
      </c>
      <c r="M67">
        <v>0</v>
      </c>
      <c r="N67" t="s">
        <v>63</v>
      </c>
    </row>
    <row r="68" spans="1:14">
      <c r="A68" s="73">
        <v>43433</v>
      </c>
      <c r="B68" t="s">
        <v>20</v>
      </c>
      <c r="C68" s="74">
        <v>0.72916666666666663</v>
      </c>
      <c r="D68" s="74">
        <v>0.76388888888888884</v>
      </c>
      <c r="E68">
        <v>0.83299999999999996</v>
      </c>
      <c r="F68">
        <v>50</v>
      </c>
      <c r="G68" t="s">
        <v>60</v>
      </c>
      <c r="H68" t="s">
        <v>69</v>
      </c>
      <c r="I68" t="s">
        <v>11</v>
      </c>
      <c r="J68" t="s">
        <v>64</v>
      </c>
      <c r="K68">
        <v>10</v>
      </c>
      <c r="L68">
        <v>9</v>
      </c>
      <c r="M68">
        <v>15</v>
      </c>
      <c r="N68" t="s">
        <v>63</v>
      </c>
    </row>
    <row r="69" spans="1:14">
      <c r="A69" s="73">
        <v>43433</v>
      </c>
      <c r="B69" t="s">
        <v>20</v>
      </c>
      <c r="C69" s="74">
        <v>0.77083333333333337</v>
      </c>
      <c r="D69" s="74">
        <v>0.80555555555555547</v>
      </c>
      <c r="E69">
        <v>0.83299999999999996</v>
      </c>
      <c r="F69">
        <v>50</v>
      </c>
      <c r="G69" t="s">
        <v>60</v>
      </c>
      <c r="H69" t="s">
        <v>14</v>
      </c>
      <c r="I69" t="s">
        <v>11</v>
      </c>
      <c r="J69" t="s">
        <v>62</v>
      </c>
      <c r="K69">
        <v>12</v>
      </c>
      <c r="L69">
        <v>8</v>
      </c>
      <c r="M69">
        <v>4</v>
      </c>
      <c r="N69" t="s">
        <v>63</v>
      </c>
    </row>
    <row r="70" spans="1:14">
      <c r="A70" s="73">
        <v>43433</v>
      </c>
      <c r="B70" t="s">
        <v>20</v>
      </c>
      <c r="C70" s="74">
        <v>0.3125</v>
      </c>
      <c r="D70" s="74">
        <v>0.34722222222222227</v>
      </c>
      <c r="E70">
        <v>0.83299999999999996</v>
      </c>
      <c r="F70">
        <v>50</v>
      </c>
      <c r="G70" t="s">
        <v>60</v>
      </c>
      <c r="H70" t="s">
        <v>61</v>
      </c>
      <c r="I70" t="s">
        <v>11</v>
      </c>
      <c r="J70" t="s">
        <v>76</v>
      </c>
      <c r="K70">
        <v>10</v>
      </c>
      <c r="L70">
        <v>6</v>
      </c>
      <c r="M70">
        <v>0</v>
      </c>
      <c r="N70" t="s">
        <v>63</v>
      </c>
    </row>
  </sheetData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10</vt:i4>
      </vt:variant>
      <vt:variant>
        <vt:lpstr>Named Ranges</vt:lpstr>
      </vt:variant>
      <vt:variant>
        <vt:i4>2</vt:i4>
      </vt:variant>
    </vt:vector>
  </HeadingPairs>
  <TitlesOfParts>
    <vt:vector size="12" baseType="lpstr">
      <vt:lpstr>ריכוז שעות</vt:lpstr>
      <vt:lpstr>דוח מרכז לאישור מנהל</vt:lpstr>
      <vt:lpstr>סיכום אמוני סטודיו וקבוצה</vt:lpstr>
      <vt:lpstr>חילנט</vt:lpstr>
      <vt:lpstr>חיוב יזם</vt:lpstr>
      <vt:lpstr>מכירות</vt:lpstr>
      <vt:lpstr>גיליון2</vt:lpstr>
      <vt:lpstr>גיליון1</vt:lpstr>
      <vt:lpstr>חגים</vt:lpstr>
      <vt:lpstr>דוח אימוני סטודיו</vt:lpstr>
      <vt:lpstr>'דוח מרכז לאישור מנהל'!Print_Area</vt:lpstr>
      <vt:lpstr>'חיוב יזם'!Print_Area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מנהל חדר כושר</dc:creator>
  <cp:lastModifiedBy>‪Idan Wekser‬‏</cp:lastModifiedBy>
  <cp:lastPrinted>2026-01-12T07:54:29Z</cp:lastPrinted>
  <dcterms:created xsi:type="dcterms:W3CDTF">2018-12-05T09:34:42Z</dcterms:created>
  <dcterms:modified xsi:type="dcterms:W3CDTF">2026-08-05T11:53:17Z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</Properties>
</file>